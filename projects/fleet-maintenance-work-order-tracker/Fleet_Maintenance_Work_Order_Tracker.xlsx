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13_ncr:1_{5945A816-0466-44B0-88FF-D658AECC9287}" xr6:coauthVersionLast="47" xr6:coauthVersionMax="47" xr10:uidLastSave="{00000000-0000-0000-0000-000000000000}"/>
  <bookViews>
    <workbookView xWindow="-108" yWindow="-108" windowWidth="23256" windowHeight="13896" firstSheet="4" activeTab="7" xr2:uid="{00000000-000D-0000-FFFF-FFFF00000000}"/>
  </bookViews>
  <sheets>
    <sheet name="Lookups" sheetId="1" r:id="rId1"/>
    <sheet name="Pivot_Status" sheetId="4" r:id="rId2"/>
    <sheet name="Work Orders by Department and P" sheetId="5" r:id="rId3"/>
    <sheet name="Assignee_Lookup" sheetId="7" r:id="rId4"/>
    <sheet name="Estimated Cost by Issue Categor" sheetId="6" r:id="rId5"/>
    <sheet name="Cleaned_Work_Orders" sheetId="8" r:id="rId6"/>
    <sheet name="Work Orders" sheetId="2" r:id="rId7"/>
    <sheet name="Summary" sheetId="3" r:id="rId8"/>
  </sheets>
  <definedNames>
    <definedName name="ExternalData_1" localSheetId="5" hidden="1">Cleaned_Work_Orders!$A$1:$T$14</definedName>
  </definedNames>
  <calcPr calcId="191029" forceFullCalc="1"/>
  <pivotCaches>
    <pivotCache cacheId="7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" l="1"/>
  <c r="B14" i="3"/>
  <c r="B11" i="3"/>
  <c r="B9" i="3"/>
  <c r="T2" i="2"/>
  <c r="T3" i="2"/>
  <c r="T4" i="2"/>
  <c r="T5" i="2"/>
  <c r="T6" i="2"/>
  <c r="T7" i="2"/>
  <c r="T8" i="2"/>
  <c r="T9" i="2"/>
  <c r="T10" i="2"/>
  <c r="T11" i="2"/>
  <c r="Q2" i="2"/>
  <c r="I2" i="2"/>
  <c r="I3" i="2"/>
  <c r="I4" i="2"/>
  <c r="I5" i="2"/>
  <c r="I6" i="2"/>
  <c r="I7" i="2"/>
  <c r="I8" i="2"/>
  <c r="I9" i="2"/>
  <c r="I10" i="2"/>
  <c r="I11" i="2"/>
  <c r="E9" i="3"/>
  <c r="E8" i="3"/>
  <c r="B8" i="3"/>
  <c r="E7" i="3"/>
  <c r="E6" i="3"/>
  <c r="B6" i="3"/>
  <c r="E5" i="3"/>
  <c r="B5" i="3"/>
  <c r="E4" i="3"/>
  <c r="B4" i="3"/>
  <c r="R11" i="2"/>
  <c r="Q11" i="2"/>
  <c r="R10" i="2"/>
  <c r="Q10" i="2"/>
  <c r="R9" i="2"/>
  <c r="Q9" i="2"/>
  <c r="R8" i="2"/>
  <c r="Q8" i="2"/>
  <c r="R7" i="2"/>
  <c r="Q7" i="2"/>
  <c r="R6" i="2"/>
  <c r="Q6" i="2"/>
  <c r="R5" i="2"/>
  <c r="Q5" i="2"/>
  <c r="R4" i="2"/>
  <c r="Q4" i="2"/>
  <c r="R3" i="2"/>
  <c r="Q3" i="2"/>
  <c r="B15" i="3" l="1"/>
  <c r="B13" i="3"/>
  <c r="T14" i="2"/>
  <c r="R14" i="2"/>
  <c r="Q14" i="2"/>
  <c r="I14" i="2"/>
  <c r="T13" i="2"/>
  <c r="R13" i="2"/>
  <c r="Q13" i="2"/>
  <c r="I13" i="2"/>
  <c r="T12" i="2"/>
  <c r="R12" i="2"/>
  <c r="Q12" i="2"/>
  <c r="I12" i="2"/>
  <c r="B7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2381BA-A6F8-4EB8-98E5-5AC6F1BB0C91}" keepAlive="1" name="Query - WorkOrdersTable" description="Connection to the 'WorkOrdersTable' query in the workbook." type="5" refreshedVersion="8" background="1" saveData="1">
    <dbPr connection="Provider=Microsoft.Mashup.OleDb.1;Data Source=$Workbook$;Location=WorkOrdersTable;Extended Properties=&quot;&quot;" command="SELECT * FROM [WorkOrdersTable]"/>
  </connection>
</connections>
</file>

<file path=xl/sharedStrings.xml><?xml version="1.0" encoding="utf-8"?>
<sst xmlns="http://schemas.openxmlformats.org/spreadsheetml/2006/main" count="510" uniqueCount="139">
  <si>
    <t>Priority</t>
  </si>
  <si>
    <t>Status</t>
  </si>
  <si>
    <t>Issue Category</t>
  </si>
  <si>
    <t>Department</t>
  </si>
  <si>
    <t>Assignment Type</t>
  </si>
  <si>
    <t>Assignee</t>
  </si>
  <si>
    <t>High</t>
  </si>
  <si>
    <t>New</t>
  </si>
  <si>
    <t>Brakes</t>
  </si>
  <si>
    <t>Transit Operations</t>
  </si>
  <si>
    <t>Internal Technician</t>
  </si>
  <si>
    <t>Alex M.</t>
  </si>
  <si>
    <t>Medium</t>
  </si>
  <si>
    <t>Assigned</t>
  </si>
  <si>
    <t>Engine</t>
  </si>
  <si>
    <t>Waste &amp; Recycling</t>
  </si>
  <si>
    <t>External Vendor</t>
  </si>
  <si>
    <t>Prairie Fleet Services</t>
  </si>
  <si>
    <t>Low</t>
  </si>
  <si>
    <t>In Progress</t>
  </si>
  <si>
    <t>Electrical</t>
  </si>
  <si>
    <t>Water Services</t>
  </si>
  <si>
    <t>Jordan K.</t>
  </si>
  <si>
    <t>Pending Approval</t>
  </si>
  <si>
    <t>Tires</t>
  </si>
  <si>
    <t>Roads</t>
  </si>
  <si>
    <t>Westside Auto</t>
  </si>
  <si>
    <t>Completed</t>
  </si>
  <si>
    <t>HVAC</t>
  </si>
  <si>
    <t>Parks</t>
  </si>
  <si>
    <t>Sam R.</t>
  </si>
  <si>
    <t>Closed</t>
  </si>
  <si>
    <t>Body / Exterior</t>
  </si>
  <si>
    <t>Fleet Services</t>
  </si>
  <si>
    <t>Calgary Mobile Repair</t>
  </si>
  <si>
    <t>Preventive Maintenance</t>
  </si>
  <si>
    <t>Other</t>
  </si>
  <si>
    <t>Work Order ID</t>
  </si>
  <si>
    <t>Vehicle / Equipment ID</t>
  </si>
  <si>
    <t>Issue Description</t>
  </si>
  <si>
    <t>Reported Date</t>
  </si>
  <si>
    <t>Assigned To</t>
  </si>
  <si>
    <t>Estimated Cost</t>
  </si>
  <si>
    <t>Approval Required</t>
  </si>
  <si>
    <t>Approval Status</t>
  </si>
  <si>
    <t>Due Date</t>
  </si>
  <si>
    <t>Completion Date</t>
  </si>
  <si>
    <t>Ageing (Days)</t>
  </si>
  <si>
    <t>Overdue?</t>
  </si>
  <si>
    <t>Notes</t>
  </si>
  <si>
    <t>WO-1001</t>
  </si>
  <si>
    <t>BUS-214</t>
  </si>
  <si>
    <t>Brake warning light reported during pre-trip inspection</t>
  </si>
  <si>
    <t>No</t>
  </si>
  <si>
    <t>Not Required</t>
  </si>
  <si>
    <t>Vehicle held for inspection</t>
  </si>
  <si>
    <t>WO-1002</t>
  </si>
  <si>
    <t>TRK-087</t>
  </si>
  <si>
    <t>Engine losing power under load</t>
  </si>
  <si>
    <t>Yes</t>
  </si>
  <si>
    <t>Pending</t>
  </si>
  <si>
    <t>Vendor estimate received</t>
  </si>
  <si>
    <t>WO-1003</t>
  </si>
  <si>
    <t>VAN-055</t>
  </si>
  <si>
    <t>Front tires below tread standard</t>
  </si>
  <si>
    <t>Replacement tires available</t>
  </si>
  <si>
    <t>WO-1004</t>
  </si>
  <si>
    <t>PLOW-018</t>
  </si>
  <si>
    <t>Beacon light intermittent</t>
  </si>
  <si>
    <t>Wiring connector replaced</t>
  </si>
  <si>
    <t>WO-1005</t>
  </si>
  <si>
    <t>MOWER-31</t>
  </si>
  <si>
    <t>Seasonal maintenance and inspection</t>
  </si>
  <si>
    <t>Scheduled service</t>
  </si>
  <si>
    <t>WO-1006</t>
  </si>
  <si>
    <t>SUV-122</t>
  </si>
  <si>
    <t>Cabin heater not reaching temperature</t>
  </si>
  <si>
    <t>Approved</t>
  </si>
  <si>
    <t>Parts ordered</t>
  </si>
  <si>
    <t>WO-1007</t>
  </si>
  <si>
    <t>BUS-331</t>
  </si>
  <si>
    <t>Passenger door panel damaged</t>
  </si>
  <si>
    <t>Awaiting inspection</t>
  </si>
  <si>
    <t>WO-1008</t>
  </si>
  <si>
    <t>TRK-144</t>
  </si>
  <si>
    <t>Reverse camera not functioning</t>
  </si>
  <si>
    <t>Appointment booked</t>
  </si>
  <si>
    <t>WO-1009</t>
  </si>
  <si>
    <t>VAN-072</t>
  </si>
  <si>
    <t>Check-engine light and rough idle</t>
  </si>
  <si>
    <t>Diagnostics underway</t>
  </si>
  <si>
    <t>WO-1010</t>
  </si>
  <si>
    <t>PLOW-041</t>
  </si>
  <si>
    <t>Pre-winter inspection</t>
  </si>
  <si>
    <t>Inspection complete</t>
  </si>
  <si>
    <t>Metric</t>
  </si>
  <si>
    <t>Value</t>
  </si>
  <si>
    <t>Count</t>
  </si>
  <si>
    <t>Total Work Orders</t>
  </si>
  <si>
    <t>Open Work Orders</t>
  </si>
  <si>
    <t>High Priority</t>
  </si>
  <si>
    <t>Overdue</t>
  </si>
  <si>
    <t>Row Labels</t>
  </si>
  <si>
    <t>Grand Total</t>
  </si>
  <si>
    <t>Count of Work Order ID</t>
  </si>
  <si>
    <t>Column Labels</t>
  </si>
  <si>
    <t>Sum of Estimated Cost</t>
  </si>
  <si>
    <t>Type</t>
  </si>
  <si>
    <t>Team / Role</t>
  </si>
  <si>
    <t>Contact Category</t>
  </si>
  <si>
    <t>Internal</t>
  </si>
  <si>
    <t>Fleet Technician</t>
  </si>
  <si>
    <t>Vendor</t>
  </si>
  <si>
    <t>External Repair Vendor</t>
  </si>
  <si>
    <t>External</t>
  </si>
  <si>
    <t>Mobile Repair Vendor</t>
  </si>
  <si>
    <t>Assignee Type</t>
  </si>
  <si>
    <t>Action Required</t>
  </si>
  <si>
    <t>Fleet Maintenance | Work Order Dashboard</t>
  </si>
  <si>
    <t>Total Estimated Cost</t>
  </si>
  <si>
    <t>Report Date</t>
  </si>
  <si>
    <t>High Priority &amp; Overdue</t>
  </si>
  <si>
    <t>Engine Repair Cost</t>
  </si>
  <si>
    <t>High Priority Vendor Cost</t>
  </si>
  <si>
    <t>No Approval Action</t>
  </si>
  <si>
    <t>Approval Follow-up</t>
  </si>
  <si>
    <t>WO-QA-1011</t>
  </si>
  <si>
    <t>BUS-QA-01</t>
  </si>
  <si>
    <t>QA: future due date and approval pending</t>
  </si>
  <si>
    <t>Synthetic QA edge case</t>
  </si>
  <si>
    <t>WO-QA-1012</t>
  </si>
  <si>
    <t>TRK-QA-02</t>
  </si>
  <si>
    <t>QA: new record beyond original cost range</t>
  </si>
  <si>
    <t>Synthetic QA cost expansion</t>
  </si>
  <si>
    <t>WO-QA-1013</t>
  </si>
  <si>
    <t>BUS-QA-03</t>
  </si>
  <si>
    <t>QA: pending status without approval required</t>
  </si>
  <si>
    <t>Synthetic QA approval definition edge case</t>
  </si>
  <si>
    <t>Approvals Requiring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</si>
</sst>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4" formatCode="yyyy\-mm\-dd"/>
    <numFmt numFmtId="165" formatCode="\$#,##0.00"/>
    <numFmt numFmtId="166" formatCode="[$$-1009]#,##0.00;\-[$$-1009]#,##0.00"/>
    <numFmt numFmtId="167" formatCode="&quot;$&quot;#,##0.00"/>
  </numFmts>
  <fonts count="6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0"/>
      <name val="Arial Unicode MS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3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166" fontId="0" fillId="0" borderId="0" xfId="1" applyNumberFormat="1" applyFont="1"/>
    <xf numFmtId="14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7" fontId="0" fillId="0" borderId="0" xfId="0" applyNumberFormat="1"/>
    <xf numFmtId="22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0" xfId="0"/>
    <xf numFmtId="0" fontId="0" fillId="0" borderId="0" xfId="0" applyNumberFormat="1"/>
  </cellXfs>
  <cellStyles count="2">
    <cellStyle name="Currency" xfId="1" builtinId="4"/>
    <cellStyle name="Normal" xfId="0" builtinId="0"/>
  </cellStyles>
  <dxfs count="24">
    <dxf>
      <font>
        <b/>
      </font>
      <fill>
        <patternFill patternType="solid">
          <bgColor rgb="FFFCE5CD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  <dxf>
      <font>
        <b/>
      </font>
      <fill>
        <patternFill patternType="solid">
          <bgColor rgb="FFF4CCCC"/>
        </patternFill>
      </fill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/>
              <a:t>Work Orders by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Summary!$D$4:$D$9</c:f>
              <c:strCache>
                <c:ptCount val="6"/>
                <c:pt idx="0">
                  <c:v>New</c:v>
                </c:pt>
                <c:pt idx="1">
                  <c:v>Assigned</c:v>
                </c:pt>
                <c:pt idx="2">
                  <c:v>In Progress</c:v>
                </c:pt>
                <c:pt idx="3">
                  <c:v>Pending Approval</c:v>
                </c:pt>
                <c:pt idx="4">
                  <c:v>Completed</c:v>
                </c:pt>
                <c:pt idx="5">
                  <c:v>Closed</c:v>
                </c:pt>
              </c:strCache>
            </c:strRef>
          </c:cat>
          <c:val>
            <c:numRef>
              <c:f>Summary!$E$4:$E$9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6-46BA-B7CB-65309B3D3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uthor" refreshedDate="46320.053511111109" createdVersion="8" refreshedVersion="8" minRefreshableVersion="3" recordCount="13" xr:uid="{12AAC19A-9298-4236-97AE-615911F82E28}">
  <cacheSource type="worksheet">
    <worksheetSource name="WorkOrdersTable"/>
  </cacheSource>
  <cacheFields count="20">
    <cacheField name="Work Order ID" numFmtId="0">
      <sharedItems/>
    </cacheField>
    <cacheField name="Vehicle / Equipment ID" numFmtId="0">
      <sharedItems/>
    </cacheField>
    <cacheField name="Department" numFmtId="0">
      <sharedItems count="6">
        <s v="Transit Operations"/>
        <s v="Waste &amp; Recycling"/>
        <s v="Water Services"/>
        <s v="Roads"/>
        <s v="Parks"/>
        <s v="Fleet Services"/>
      </sharedItems>
    </cacheField>
    <cacheField name="Issue Category" numFmtId="0">
      <sharedItems count="7">
        <s v="Brakes"/>
        <s v="Engine"/>
        <s v="Tires"/>
        <s v="Electrical"/>
        <s v="Preventive Maintenance"/>
        <s v="HVAC"/>
        <s v="Body / Exterior"/>
      </sharedItems>
    </cacheField>
    <cacheField name="Issue Description" numFmtId="0">
      <sharedItems/>
    </cacheField>
    <cacheField name="Priority" numFmtId="0">
      <sharedItems count="3">
        <s v="High"/>
        <s v="Medium"/>
        <s v="Low"/>
      </sharedItems>
    </cacheField>
    <cacheField name="Reported Date" numFmtId="164">
      <sharedItems containsSemiMixedTypes="0" containsNonDate="0" containsDate="1" containsString="0" minDate="2026-09-25T00:00:00" maxDate="2026-10-24T00:00:00"/>
    </cacheField>
    <cacheField name="Assigned To" numFmtId="0">
      <sharedItems/>
    </cacheField>
    <cacheField name="Assignee Type" numFmtId="0">
      <sharedItems/>
    </cacheField>
    <cacheField name="Assignment Type" numFmtId="0">
      <sharedItems/>
    </cacheField>
    <cacheField name="Status" numFmtId="0">
      <sharedItems count="6">
        <s v="In Progress"/>
        <s v="Pending Approval"/>
        <s v="Assigned"/>
        <s v="Completed"/>
        <s v="New"/>
        <s v="Closed"/>
      </sharedItems>
    </cacheField>
    <cacheField name="Estimated Cost" numFmtId="165">
      <sharedItems containsSemiMixedTypes="0" containsString="0" containsNumber="1" containsInteger="1" minValue="200" maxValue="4200"/>
    </cacheField>
    <cacheField name="Approval Required" numFmtId="0">
      <sharedItems/>
    </cacheField>
    <cacheField name="Approval Status" numFmtId="0">
      <sharedItems/>
    </cacheField>
    <cacheField name="Due Date" numFmtId="164">
      <sharedItems containsSemiMixedTypes="0" containsNonDate="0" containsDate="1" containsString="0" minDate="2026-10-01T00:00:00" maxDate="2026-11-10T00:00:00"/>
    </cacheField>
    <cacheField name="Completion Date" numFmtId="164">
      <sharedItems containsNonDate="0" containsDate="1" containsString="0" containsBlank="1" minDate="2026-10-04T00:00:00" maxDate="2026-10-06T00:00:00"/>
    </cacheField>
    <cacheField name="Ageing (Days)" numFmtId="0">
      <sharedItems containsSemiMixedTypes="0" containsString="0" containsNumber="1" containsInteger="1" minValue="2" maxValue="30"/>
    </cacheField>
    <cacheField name="Overdue?" numFmtId="0">
      <sharedItems/>
    </cacheField>
    <cacheField name="Notes" numFmtId="0">
      <sharedItems/>
    </cacheField>
    <cacheField name="Action Requir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WO-1001"/>
    <s v="BUS-214"/>
    <x v="0"/>
    <x v="0"/>
    <s v="Brake warning light reported during pre-trip inspection"/>
    <x v="0"/>
    <d v="2026-10-01T00:00:00"/>
    <s v="Alex M."/>
    <s v="Internal"/>
    <s v="Internal Technician"/>
    <x v="0"/>
    <n v="850"/>
    <s v="No"/>
    <s v="Not Required"/>
    <d v="2026-10-03T00:00:00"/>
    <m/>
    <n v="24"/>
    <s v="Yes"/>
    <s v="Vehicle held for inspection"/>
    <s v="No Approval Action"/>
  </r>
  <r>
    <s v="WO-1002"/>
    <s v="TRK-087"/>
    <x v="1"/>
    <x v="1"/>
    <s v="Engine losing power under load"/>
    <x v="0"/>
    <d v="2026-09-28T00:00:00"/>
    <s v="Prairie Fleet Services"/>
    <s v="Vendor"/>
    <s v="External Vendor"/>
    <x v="1"/>
    <n v="4200"/>
    <s v="Yes"/>
    <s v="Pending"/>
    <d v="2026-10-02T00:00:00"/>
    <m/>
    <n v="27"/>
    <s v="Yes"/>
    <s v="Vendor estimate received"/>
    <s v="Approval Follow-up"/>
  </r>
  <r>
    <s v="WO-1003"/>
    <s v="VAN-055"/>
    <x v="2"/>
    <x v="2"/>
    <s v="Front tires below tread standard"/>
    <x v="1"/>
    <d v="2026-10-02T00:00:00"/>
    <s v="Jordan K."/>
    <s v="Internal"/>
    <s v="Internal Technician"/>
    <x v="2"/>
    <n v="620"/>
    <s v="No"/>
    <s v="Not Required"/>
    <d v="2026-10-08T00:00:00"/>
    <m/>
    <n v="23"/>
    <s v="Yes"/>
    <s v="Replacement tires available"/>
    <s v="No Approval Action"/>
  </r>
  <r>
    <s v="WO-1004"/>
    <s v="PLOW-018"/>
    <x v="3"/>
    <x v="3"/>
    <s v="Beacon light intermittent"/>
    <x v="1"/>
    <d v="2026-09-30T00:00:00"/>
    <s v="Westside Auto"/>
    <s v="Vendor"/>
    <s v="External Vendor"/>
    <x v="3"/>
    <n v="540"/>
    <s v="No"/>
    <s v="Not Required"/>
    <d v="2026-10-05T00:00:00"/>
    <d v="2026-10-04T00:00:00"/>
    <n v="4"/>
    <s v="No"/>
    <s v="Wiring connector replaced"/>
    <s v="No Approval Action"/>
  </r>
  <r>
    <s v="WO-1005"/>
    <s v="MOWER-31"/>
    <x v="4"/>
    <x v="4"/>
    <s v="Seasonal maintenance and inspection"/>
    <x v="2"/>
    <d v="2026-10-03T00:00:00"/>
    <s v="Sam R."/>
    <s v="Internal"/>
    <s v="Internal Technician"/>
    <x v="4"/>
    <n v="300"/>
    <s v="No"/>
    <s v="Not Required"/>
    <d v="2026-10-12T00:00:00"/>
    <m/>
    <n v="22"/>
    <s v="Yes"/>
    <s v="Scheduled service"/>
    <s v="No Approval Action"/>
  </r>
  <r>
    <s v="WO-1006"/>
    <s v="SUV-122"/>
    <x v="5"/>
    <x v="5"/>
    <s v="Cabin heater not reaching temperature"/>
    <x v="1"/>
    <d v="2026-09-25T00:00:00"/>
    <s v="Calgary Mobile Repair"/>
    <s v="Vendor"/>
    <s v="External Vendor"/>
    <x v="0"/>
    <n v="1450"/>
    <s v="Yes"/>
    <s v="Approved"/>
    <d v="2026-10-01T00:00:00"/>
    <m/>
    <n v="30"/>
    <s v="Yes"/>
    <s v="Parts ordered"/>
    <s v="No Approval Action"/>
  </r>
  <r>
    <s v="WO-1007"/>
    <s v="BUS-331"/>
    <x v="0"/>
    <x v="6"/>
    <s v="Passenger door panel damaged"/>
    <x v="2"/>
    <d v="2026-10-05T00:00:00"/>
    <s v="Alex M."/>
    <s v="Internal"/>
    <s v="Internal Technician"/>
    <x v="4"/>
    <n v="950"/>
    <s v="No"/>
    <s v="Not Required"/>
    <d v="2026-10-15T00:00:00"/>
    <m/>
    <n v="20"/>
    <s v="Yes"/>
    <s v="Awaiting inspection"/>
    <s v="No Approval Action"/>
  </r>
  <r>
    <s v="WO-1008"/>
    <s v="TRK-144"/>
    <x v="1"/>
    <x v="3"/>
    <s v="Reverse camera not functioning"/>
    <x v="1"/>
    <d v="2026-09-27T00:00:00"/>
    <s v="Prairie Fleet Services"/>
    <s v="Vendor"/>
    <s v="External Vendor"/>
    <x v="2"/>
    <n v="1800"/>
    <s v="Yes"/>
    <s v="Approved"/>
    <d v="2026-10-04T00:00:00"/>
    <m/>
    <n v="28"/>
    <s v="Yes"/>
    <s v="Appointment booked"/>
    <s v="No Approval Action"/>
  </r>
  <r>
    <s v="WO-1009"/>
    <s v="VAN-072"/>
    <x v="2"/>
    <x v="1"/>
    <s v="Check-engine light and rough idle"/>
    <x v="0"/>
    <d v="2026-10-06T00:00:00"/>
    <s v="Jordan K."/>
    <s v="Internal"/>
    <s v="Internal Technician"/>
    <x v="0"/>
    <n v="1100"/>
    <s v="No"/>
    <s v="Not Required"/>
    <d v="2026-10-07T00:00:00"/>
    <m/>
    <n v="19"/>
    <s v="Yes"/>
    <s v="Diagnostics underway"/>
    <s v="No Approval Action"/>
  </r>
  <r>
    <s v="WO-1010"/>
    <s v="PLOW-041"/>
    <x v="3"/>
    <x v="4"/>
    <s v="Pre-winter inspection"/>
    <x v="1"/>
    <d v="2026-10-01T00:00:00"/>
    <s v="Westside Auto"/>
    <s v="Vendor"/>
    <s v="External Vendor"/>
    <x v="5"/>
    <n v="900"/>
    <s v="No"/>
    <s v="Not Required"/>
    <d v="2026-10-06T00:00:00"/>
    <d v="2026-10-05T00:00:00"/>
    <n v="4"/>
    <s v="No"/>
    <s v="Inspection complete"/>
    <s v="No Approval Action"/>
  </r>
  <r>
    <s v="WO-QA-1011"/>
    <s v="BUS-QA-01"/>
    <x v="0"/>
    <x v="3"/>
    <s v="QA: future due date and approval pending"/>
    <x v="1"/>
    <d v="2026-10-23T00:00:00"/>
    <s v="Alex M."/>
    <s v="Internal"/>
    <s v="Internal Technician"/>
    <x v="0"/>
    <n v="350"/>
    <s v="Yes"/>
    <s v="Pending"/>
    <d v="2026-11-09T00:00:00"/>
    <m/>
    <n v="2"/>
    <s v="No"/>
    <s v="Synthetic QA edge case"/>
    <s v="Approval Follow-up"/>
  </r>
  <r>
    <s v="WO-QA-1012"/>
    <s v="TRK-QA-02"/>
    <x v="1"/>
    <x v="2"/>
    <s v="QA: new record beyond original cost range"/>
    <x v="2"/>
    <d v="2026-10-23T00:00:00"/>
    <s v="Alex M."/>
    <s v="Internal"/>
    <s v="Internal Technician"/>
    <x v="4"/>
    <n v="500"/>
    <s v="No"/>
    <s v="Not Required"/>
    <d v="2026-11-09T00:00:00"/>
    <m/>
    <n v="2"/>
    <s v="No"/>
    <s v="Synthetic QA cost expansion"/>
    <s v="No Approval Action"/>
  </r>
  <r>
    <s v="WO-QA-1013"/>
    <s v="BUS-QA-03"/>
    <x v="0"/>
    <x v="3"/>
    <s v="QA: pending status without approval required"/>
    <x v="2"/>
    <d v="2026-10-23T00:00:00"/>
    <s v="Alex M."/>
    <s v="Internal"/>
    <s v="Internal Technician"/>
    <x v="0"/>
    <n v="200"/>
    <s v="No"/>
    <s v="Pending"/>
    <d v="2026-11-09T00:00:00"/>
    <m/>
    <n v="2"/>
    <s v="No"/>
    <s v="Synthetic QA approval definition edge case"/>
    <s v="No Approval Act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FDF88-4442-44B2-8403-64B8EC07FE6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axis="axisRow" showAll="0">
      <items count="7">
        <item x="2"/>
        <item x="5"/>
        <item x="3"/>
        <item x="0"/>
        <item x="4"/>
        <item x="1"/>
        <item t="default"/>
      </items>
    </pivotField>
    <pivotField numFmtId="165" showAll="0"/>
    <pivotField showAll="0"/>
    <pivotField showAll="0"/>
    <pivotField numFmtId="164" showAll="0"/>
    <pivotField showAll="0"/>
    <pivotField numFmtId="1" showAll="0"/>
    <pivotField showAll="0"/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Work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9CE3D-19BC-4FCE-8CDC-E6C15A76706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1" firstDataRow="2" firstDataCol="1"/>
  <pivotFields count="20">
    <pivotField dataField="1" showAll="0"/>
    <pivotField showAll="0"/>
    <pivotField axis="axisRow" showAll="0">
      <items count="7">
        <item x="5"/>
        <item x="4"/>
        <item x="3"/>
        <item x="0"/>
        <item x="1"/>
        <item x="2"/>
        <item t="default"/>
      </items>
    </pivotField>
    <pivotField showAll="0"/>
    <pivotField showAll="0"/>
    <pivotField axis="axisCol" showAll="0">
      <items count="4">
        <item x="0"/>
        <item x="2"/>
        <item x="1"/>
        <item t="default"/>
      </items>
    </pivotField>
    <pivotField numFmtId="164" showAll="0"/>
    <pivotField showAll="0"/>
    <pivotField showAll="0"/>
    <pivotField showAll="0"/>
    <pivotField showAll="0"/>
    <pivotField numFmtId="165" showAll="0"/>
    <pivotField showAll="0"/>
    <pivotField showAll="0"/>
    <pivotField numFmtId="164" showAll="0"/>
    <pivotField showAll="0"/>
    <pivotField numFmtId="1"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Work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6A4B5-2902-458A-B3CE-98EFA3475A6D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20">
    <pivotField showAll="0"/>
    <pivotField showAll="0"/>
    <pivotField showAll="0"/>
    <pivotField axis="axisRow" showAll="0">
      <items count="8">
        <item x="6"/>
        <item x="0"/>
        <item x="3"/>
        <item x="1"/>
        <item x="5"/>
        <item x="4"/>
        <item x="2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dataField="1" numFmtId="165" showAll="0"/>
    <pivotField showAll="0"/>
    <pivotField showAll="0"/>
    <pivotField numFmtId="164" showAll="0"/>
    <pivotField showAll="0"/>
    <pivotField numFmtId="1"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Estimated Cost" fld="1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F4770D-7FB8-466B-A0F3-DDB4C35DC73C}" autoFormatId="16" applyNumberFormats="0" applyBorderFormats="0" applyFontFormats="0" applyPatternFormats="0" applyAlignmentFormats="0" applyWidthHeightFormats="0">
  <queryTableRefresh nextId="21">
    <queryTableFields count="20">
      <queryTableField id="1" name="Work Order ID" tableColumnId="1"/>
      <queryTableField id="2" name="Vehicle / Equipment ID" tableColumnId="2"/>
      <queryTableField id="3" name="Department" tableColumnId="3"/>
      <queryTableField id="4" name="Issue Category" tableColumnId="4"/>
      <queryTableField id="5" name="Issue Description" tableColumnId="5"/>
      <queryTableField id="6" name="Priority" tableColumnId="6"/>
      <queryTableField id="7" name="Reported Date" tableColumnId="7"/>
      <queryTableField id="8" name="Assigned To" tableColumnId="8"/>
      <queryTableField id="9" name="Assignee Type" tableColumnId="9"/>
      <queryTableField id="10" name="Assignment Type" tableColumnId="10"/>
      <queryTableField id="11" name="Status" tableColumnId="11"/>
      <queryTableField id="12" name="Estimated Cost" tableColumnId="12"/>
      <queryTableField id="13" name="Approval Required" tableColumnId="13"/>
      <queryTableField id="14" name="Approval Status" tableColumnId="14"/>
      <queryTableField id="15" name="Due Date" tableColumnId="15"/>
      <queryTableField id="16" name="Completion Date" tableColumnId="16"/>
      <queryTableField id="17" name="Ageing (Days)" tableColumnId="17"/>
      <queryTableField id="18" name="Overdue?" tableColumnId="18"/>
      <queryTableField id="19" name="Notes" tableColumnId="19"/>
      <queryTableField id="20" name="Action Required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002EC3-3A1A-4C11-B001-F848F34A9A95}" name="WorkOrdersTable_1" displayName="WorkOrdersTable_1" ref="A1:T14" tableType="queryTable" totalsRowShown="0">
  <autoFilter ref="A1:T14" xr:uid="{09002EC3-3A1A-4C11-B001-F848F34A9A95}"/>
  <tableColumns count="20">
    <tableColumn id="1" xr3:uid="{08A20C5F-D549-4DD2-B882-294D1B3E7517}" uniqueName="1" name="Work Order ID" queryTableFieldId="1" dataDxfId="23"/>
    <tableColumn id="2" xr3:uid="{C3C76C9A-B8ED-4551-8C25-533C9DA5DDA4}" uniqueName="2" name="Vehicle / Equipment ID" queryTableFieldId="2" dataDxfId="22"/>
    <tableColumn id="3" xr3:uid="{CD715C2E-FEBA-4420-91CC-557EA02F407F}" uniqueName="3" name="Department" queryTableFieldId="3" dataDxfId="21"/>
    <tableColumn id="4" xr3:uid="{B56AF665-823A-4F7B-B67A-B279AF19C1F9}" uniqueName="4" name="Issue Category" queryTableFieldId="4" dataDxfId="20"/>
    <tableColumn id="5" xr3:uid="{61D0327D-8F0E-4B68-8B75-9431C02DC910}" uniqueName="5" name="Issue Description" queryTableFieldId="5" dataDxfId="19"/>
    <tableColumn id="6" xr3:uid="{D298D72F-3CC0-4733-B9FF-20F93A8F903E}" uniqueName="6" name="Priority" queryTableFieldId="6" dataDxfId="18"/>
    <tableColumn id="7" xr3:uid="{590D5F60-9D07-4947-A49B-9E86136EE866}" uniqueName="7" name="Reported Date" queryTableFieldId="7" dataDxfId="17"/>
    <tableColumn id="8" xr3:uid="{599C74A2-ECB3-4026-98F4-300FF4EFFB1F}" uniqueName="8" name="Assigned To" queryTableFieldId="8" dataDxfId="16"/>
    <tableColumn id="9" xr3:uid="{E70E21E5-ED6A-477D-99D2-5A4D2F299BFF}" uniqueName="9" name="Assignee Type" queryTableFieldId="9" dataDxfId="15"/>
    <tableColumn id="10" xr3:uid="{85D887FA-4E59-4685-9B8A-D18B6D70CEA8}" uniqueName="10" name="Assignment Type" queryTableFieldId="10" dataDxfId="14"/>
    <tableColumn id="11" xr3:uid="{471D2E11-B56A-4E6E-B7B4-D60EC960FEA3}" uniqueName="11" name="Status" queryTableFieldId="11" dataDxfId="13"/>
    <tableColumn id="12" xr3:uid="{29C5F8E3-F6E1-4896-8F22-0720E281F076}" uniqueName="12" name="Estimated Cost" queryTableFieldId="12"/>
    <tableColumn id="13" xr3:uid="{5C097BC8-EE87-4C13-AAE8-01672938486E}" uniqueName="13" name="Approval Required" queryTableFieldId="13" dataDxfId="12"/>
    <tableColumn id="14" xr3:uid="{09078007-210D-4EE3-BFDA-3E423ADBFD4E}" uniqueName="14" name="Approval Status" queryTableFieldId="14" dataDxfId="11"/>
    <tableColumn id="15" xr3:uid="{AB7D9A2E-BBAF-4005-BF3F-38364708BD06}" uniqueName="15" name="Due Date" queryTableFieldId="15" dataDxfId="10"/>
    <tableColumn id="16" xr3:uid="{3FE5958C-68B4-4752-822F-5DD046111A4D}" uniqueName="16" name="Completion Date" queryTableFieldId="16" dataDxfId="9"/>
    <tableColumn id="17" xr3:uid="{BED07573-22BB-4E58-9358-D3CC2A48E178}" uniqueName="17" name="Ageing (Days)" queryTableFieldId="17"/>
    <tableColumn id="18" xr3:uid="{C6A879F2-8F48-45E5-9587-C3F8AD882CE2}" uniqueName="18" name="Overdue?" queryTableFieldId="18" dataDxfId="8"/>
    <tableColumn id="19" xr3:uid="{6049AE64-1BEE-424A-B12D-3DD97C4A502A}" uniqueName="19" name="Notes" queryTableFieldId="19" dataDxfId="7"/>
    <tableColumn id="20" xr3:uid="{906D965D-195F-47F4-992D-D2D60A15F26B}" uniqueName="20" name="Action Required" queryTableFieldId="20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OrdersTable" displayName="WorkOrdersTable" ref="A1:T14" totalsRowShown="0">
  <tableColumns count="20">
    <tableColumn id="1" xr3:uid="{00000000-0010-0000-0000-000001000000}" name="Work Order ID"/>
    <tableColumn id="2" xr3:uid="{00000000-0010-0000-0000-000002000000}" name="Vehicle / Equipment ID"/>
    <tableColumn id="3" xr3:uid="{00000000-0010-0000-0000-000003000000}" name="Department"/>
    <tableColumn id="4" xr3:uid="{00000000-0010-0000-0000-000004000000}" name="Issue Category"/>
    <tableColumn id="5" xr3:uid="{00000000-0010-0000-0000-000005000000}" name="Issue Description"/>
    <tableColumn id="6" xr3:uid="{00000000-0010-0000-0000-000006000000}" name="Priority"/>
    <tableColumn id="7" xr3:uid="{00000000-0010-0000-0000-000007000000}" name="Reported Date"/>
    <tableColumn id="8" xr3:uid="{00000000-0010-0000-0000-000008000000}" name="Assigned To"/>
    <tableColumn id="20" xr3:uid="{436BC114-7025-48C2-AEB2-3996CEAB0DFC}" name="Assignee Type" dataDxfId="5">
      <calculatedColumnFormula>_xlfn.XLOOKUP(H2,Assignee_Lookup!$A$2:$A$7,Assignee_Lookup!$B$2:$B$7,"Not Found")</calculatedColumnFormula>
    </tableColumn>
    <tableColumn id="9" xr3:uid="{00000000-0010-0000-0000-000009000000}" name="Assignment Type"/>
    <tableColumn id="10" xr3:uid="{00000000-0010-0000-0000-00000A000000}" name="Status"/>
    <tableColumn id="11" xr3:uid="{00000000-0010-0000-0000-00000B000000}" name="Estimated Cost"/>
    <tableColumn id="12" xr3:uid="{00000000-0010-0000-0000-00000C000000}" name="Approval Required"/>
    <tableColumn id="13" xr3:uid="{00000000-0010-0000-0000-00000D000000}" name="Approval Status"/>
    <tableColumn id="14" xr3:uid="{00000000-0010-0000-0000-00000E000000}" name="Due Date"/>
    <tableColumn id="15" xr3:uid="{00000000-0010-0000-0000-00000F000000}" name="Completion Date"/>
    <tableColumn id="16" xr3:uid="{00000000-0010-0000-0000-000010000000}" name="Ageing (Days)"/>
    <tableColumn id="17" xr3:uid="{00000000-0010-0000-0000-000011000000}" name="Overdue?"/>
    <tableColumn id="18" xr3:uid="{00000000-0010-0000-0000-000012000000}" name="Notes"/>
    <tableColumn id="19" xr3:uid="{772450BC-10A6-4B19-9D6E-8009E2775CC1}" name="Action Required" dataDxfId="4">
      <calculatedColumnFormula>IF(AND(M2="Yes",N2="Pending"),"Approval Follow-up","No Approval Action")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/>
  </sheetViews>
  <sheetFormatPr defaultRowHeight="13.8"/>
  <cols>
    <col min="1" max="1" width="6.8984375" customWidth="1"/>
    <col min="2" max="2" width="13.59765625" customWidth="1"/>
    <col min="3" max="3" width="18.59765625" customWidth="1"/>
    <col min="4" max="4" width="14.09765625" customWidth="1"/>
    <col min="5" max="5" width="14.59765625" customWidth="1"/>
    <col min="6" max="6" width="16.8984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F4" t="s">
        <v>22</v>
      </c>
    </row>
    <row r="5" spans="1:6">
      <c r="B5" t="s">
        <v>23</v>
      </c>
      <c r="C5" t="s">
        <v>24</v>
      </c>
      <c r="D5" t="s">
        <v>25</v>
      </c>
      <c r="F5" t="s">
        <v>26</v>
      </c>
    </row>
    <row r="6" spans="1:6">
      <c r="B6" t="s">
        <v>27</v>
      </c>
      <c r="C6" t="s">
        <v>28</v>
      </c>
      <c r="D6" t="s">
        <v>29</v>
      </c>
      <c r="F6" t="s">
        <v>30</v>
      </c>
    </row>
    <row r="7" spans="1:6">
      <c r="B7" t="s">
        <v>31</v>
      </c>
      <c r="C7" t="s">
        <v>32</v>
      </c>
      <c r="D7" t="s">
        <v>33</v>
      </c>
      <c r="F7" t="s">
        <v>34</v>
      </c>
    </row>
    <row r="8" spans="1:6">
      <c r="C8" t="s">
        <v>35</v>
      </c>
    </row>
    <row r="9" spans="1:6">
      <c r="C9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12356-75EE-43D2-A160-689E621E4775}">
  <dimension ref="A3:B10"/>
  <sheetViews>
    <sheetView workbookViewId="0">
      <selection activeCell="E4" sqref="E4"/>
    </sheetView>
  </sheetViews>
  <sheetFormatPr defaultRowHeight="13.8"/>
  <cols>
    <col min="1" max="1" width="15.09765625" bestFit="1" customWidth="1"/>
    <col min="2" max="2" width="21.3984375" bestFit="1" customWidth="1"/>
  </cols>
  <sheetData>
    <row r="3" spans="1:2">
      <c r="A3" s="8" t="s">
        <v>102</v>
      </c>
      <c r="B3" t="s">
        <v>104</v>
      </c>
    </row>
    <row r="4" spans="1:2">
      <c r="A4" s="9" t="s">
        <v>13</v>
      </c>
      <c r="B4" s="21">
        <v>2</v>
      </c>
    </row>
    <row r="5" spans="1:2">
      <c r="A5" s="9" t="s">
        <v>31</v>
      </c>
      <c r="B5" s="21">
        <v>1</v>
      </c>
    </row>
    <row r="6" spans="1:2">
      <c r="A6" s="9" t="s">
        <v>27</v>
      </c>
      <c r="B6" s="21">
        <v>1</v>
      </c>
    </row>
    <row r="7" spans="1:2">
      <c r="A7" s="9" t="s">
        <v>19</v>
      </c>
      <c r="B7" s="21">
        <v>5</v>
      </c>
    </row>
    <row r="8" spans="1:2">
      <c r="A8" s="9" t="s">
        <v>7</v>
      </c>
      <c r="B8" s="21">
        <v>3</v>
      </c>
    </row>
    <row r="9" spans="1:2">
      <c r="A9" s="9" t="s">
        <v>23</v>
      </c>
      <c r="B9" s="21">
        <v>1</v>
      </c>
    </row>
    <row r="10" spans="1:2">
      <c r="A10" s="9" t="s">
        <v>103</v>
      </c>
      <c r="B10" s="21">
        <v>13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12E8-119A-4C5B-B152-68E2A43FA048}">
  <dimension ref="A3:E11"/>
  <sheetViews>
    <sheetView workbookViewId="0">
      <selection activeCell="A3" sqref="A3"/>
    </sheetView>
  </sheetViews>
  <sheetFormatPr defaultRowHeight="13.8"/>
  <cols>
    <col min="1" max="1" width="21.3984375" bestFit="1" customWidth="1"/>
    <col min="2" max="2" width="16.09765625" bestFit="1" customWidth="1"/>
    <col min="3" max="3" width="4.59765625" bestFit="1" customWidth="1"/>
    <col min="4" max="4" width="7.8984375" bestFit="1" customWidth="1"/>
    <col min="5" max="5" width="11" bestFit="1" customWidth="1"/>
  </cols>
  <sheetData>
    <row r="3" spans="1:5">
      <c r="A3" s="8" t="s">
        <v>104</v>
      </c>
      <c r="B3" s="8" t="s">
        <v>105</v>
      </c>
    </row>
    <row r="4" spans="1:5">
      <c r="A4" s="8" t="s">
        <v>102</v>
      </c>
      <c r="B4" t="s">
        <v>6</v>
      </c>
      <c r="C4" t="s">
        <v>18</v>
      </c>
      <c r="D4" t="s">
        <v>12</v>
      </c>
      <c r="E4" t="s">
        <v>103</v>
      </c>
    </row>
    <row r="5" spans="1:5">
      <c r="A5" s="9" t="s">
        <v>33</v>
      </c>
      <c r="B5" s="21"/>
      <c r="C5" s="21"/>
      <c r="D5" s="21">
        <v>1</v>
      </c>
      <c r="E5" s="21">
        <v>1</v>
      </c>
    </row>
    <row r="6" spans="1:5">
      <c r="A6" s="9" t="s">
        <v>29</v>
      </c>
      <c r="B6" s="21"/>
      <c r="C6" s="21">
        <v>1</v>
      </c>
      <c r="D6" s="21"/>
      <c r="E6" s="21">
        <v>1</v>
      </c>
    </row>
    <row r="7" spans="1:5">
      <c r="A7" s="9" t="s">
        <v>25</v>
      </c>
      <c r="B7" s="21"/>
      <c r="C7" s="21"/>
      <c r="D7" s="21">
        <v>2</v>
      </c>
      <c r="E7" s="21">
        <v>2</v>
      </c>
    </row>
    <row r="8" spans="1:5">
      <c r="A8" s="9" t="s">
        <v>9</v>
      </c>
      <c r="B8" s="21">
        <v>1</v>
      </c>
      <c r="C8" s="21">
        <v>2</v>
      </c>
      <c r="D8" s="21">
        <v>1</v>
      </c>
      <c r="E8" s="21">
        <v>4</v>
      </c>
    </row>
    <row r="9" spans="1:5">
      <c r="A9" s="9" t="s">
        <v>15</v>
      </c>
      <c r="B9" s="21">
        <v>1</v>
      </c>
      <c r="C9" s="21">
        <v>1</v>
      </c>
      <c r="D9" s="21">
        <v>1</v>
      </c>
      <c r="E9" s="21">
        <v>3</v>
      </c>
    </row>
    <row r="10" spans="1:5">
      <c r="A10" s="9" t="s">
        <v>21</v>
      </c>
      <c r="B10" s="21">
        <v>1</v>
      </c>
      <c r="C10" s="21"/>
      <c r="D10" s="21">
        <v>1</v>
      </c>
      <c r="E10" s="21">
        <v>2</v>
      </c>
    </row>
    <row r="11" spans="1:5">
      <c r="A11" s="9" t="s">
        <v>103</v>
      </c>
      <c r="B11" s="21">
        <v>3</v>
      </c>
      <c r="C11" s="21">
        <v>4</v>
      </c>
      <c r="D11" s="21">
        <v>6</v>
      </c>
      <c r="E11" s="21">
        <v>13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519D9-11E0-45E9-805B-6A155572C914}">
  <dimension ref="A1:K7"/>
  <sheetViews>
    <sheetView workbookViewId="0">
      <selection activeCell="G6" sqref="G6"/>
    </sheetView>
  </sheetViews>
  <sheetFormatPr defaultRowHeight="13.8"/>
  <cols>
    <col min="1" max="1" width="13.3984375" customWidth="1"/>
    <col min="2" max="2" width="13.296875" customWidth="1"/>
    <col min="3" max="3" width="13.69921875" customWidth="1"/>
    <col min="4" max="4" width="14.5" customWidth="1"/>
  </cols>
  <sheetData>
    <row r="1" spans="1:11" ht="27.6">
      <c r="A1" s="15" t="s">
        <v>5</v>
      </c>
      <c r="B1" s="15" t="s">
        <v>107</v>
      </c>
      <c r="C1" s="15" t="s">
        <v>108</v>
      </c>
      <c r="D1" s="15" t="s">
        <v>109</v>
      </c>
      <c r="E1" s="10"/>
      <c r="F1" s="10"/>
      <c r="G1" s="10"/>
      <c r="H1" s="10"/>
      <c r="I1" s="10"/>
      <c r="J1" s="10"/>
      <c r="K1" s="10"/>
    </row>
    <row r="2" spans="1:11" ht="27.6">
      <c r="A2" s="16" t="s">
        <v>11</v>
      </c>
      <c r="B2" s="16" t="s">
        <v>110</v>
      </c>
      <c r="C2" s="16" t="s">
        <v>111</v>
      </c>
      <c r="D2" s="16" t="s">
        <v>110</v>
      </c>
      <c r="E2" s="11"/>
      <c r="F2" s="11"/>
      <c r="G2" s="11"/>
      <c r="H2" s="11"/>
      <c r="I2" s="11"/>
      <c r="J2" s="11"/>
      <c r="K2" s="11"/>
    </row>
    <row r="3" spans="1:11" ht="27.6">
      <c r="A3" s="16" t="s">
        <v>22</v>
      </c>
      <c r="B3" s="16" t="s">
        <v>110</v>
      </c>
      <c r="C3" s="16" t="s">
        <v>111</v>
      </c>
      <c r="D3" s="16" t="s">
        <v>110</v>
      </c>
      <c r="E3" s="11"/>
      <c r="F3" s="11"/>
      <c r="G3" s="11"/>
      <c r="H3" s="11"/>
      <c r="I3" s="11"/>
      <c r="J3" s="11"/>
      <c r="K3" s="11"/>
    </row>
    <row r="4" spans="1:11" ht="27.6">
      <c r="A4" s="16" t="s">
        <v>30</v>
      </c>
      <c r="B4" s="16" t="s">
        <v>110</v>
      </c>
      <c r="C4" s="16" t="s">
        <v>111</v>
      </c>
      <c r="D4" s="16" t="s">
        <v>110</v>
      </c>
      <c r="E4" s="11"/>
      <c r="F4" s="11"/>
      <c r="G4" s="11"/>
      <c r="H4" s="11"/>
      <c r="I4" s="11"/>
      <c r="J4" s="11"/>
      <c r="K4" s="11"/>
    </row>
    <row r="5" spans="1:11" ht="27.6">
      <c r="A5" s="16" t="s">
        <v>17</v>
      </c>
      <c r="B5" s="16" t="s">
        <v>112</v>
      </c>
      <c r="C5" s="16" t="s">
        <v>113</v>
      </c>
      <c r="D5" s="16" t="s">
        <v>114</v>
      </c>
      <c r="E5" s="11"/>
      <c r="F5" s="11"/>
      <c r="G5" s="11"/>
      <c r="H5" s="11"/>
      <c r="I5" s="11"/>
      <c r="J5" s="11"/>
      <c r="K5" s="11"/>
    </row>
    <row r="6" spans="1:11" ht="27.6">
      <c r="A6" s="16" t="s">
        <v>26</v>
      </c>
      <c r="B6" s="16" t="s">
        <v>112</v>
      </c>
      <c r="C6" s="16" t="s">
        <v>113</v>
      </c>
      <c r="D6" s="16" t="s">
        <v>114</v>
      </c>
      <c r="E6" s="11"/>
      <c r="F6" s="11"/>
      <c r="G6" s="11"/>
      <c r="H6" s="11"/>
      <c r="I6" s="11"/>
      <c r="J6" s="11"/>
      <c r="K6" s="11"/>
    </row>
    <row r="7" spans="1:11" ht="27.6">
      <c r="A7" s="16" t="s">
        <v>34</v>
      </c>
      <c r="B7" s="16" t="s">
        <v>112</v>
      </c>
      <c r="C7" s="16" t="s">
        <v>115</v>
      </c>
      <c r="D7" s="16" t="s">
        <v>114</v>
      </c>
      <c r="E7" s="11"/>
      <c r="F7" s="11"/>
      <c r="G7" s="11"/>
      <c r="H7" s="11"/>
      <c r="I7" s="11"/>
      <c r="J7" s="11"/>
      <c r="K7" s="1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92248-3709-44B8-BCDA-287C752C8893}">
  <dimension ref="A3:B11"/>
  <sheetViews>
    <sheetView workbookViewId="0">
      <selection activeCell="D34" sqref="D34:D39"/>
    </sheetView>
  </sheetViews>
  <sheetFormatPr defaultRowHeight="13.8"/>
  <cols>
    <col min="1" max="1" width="20.3984375" bestFit="1" customWidth="1"/>
    <col min="2" max="2" width="21.19921875" bestFit="1" customWidth="1"/>
  </cols>
  <sheetData>
    <row r="3" spans="1:2">
      <c r="A3" s="8" t="s">
        <v>102</v>
      </c>
      <c r="B3" t="s">
        <v>106</v>
      </c>
    </row>
    <row r="4" spans="1:2">
      <c r="A4" s="9" t="s">
        <v>32</v>
      </c>
      <c r="B4" s="3">
        <v>950</v>
      </c>
    </row>
    <row r="5" spans="1:2">
      <c r="A5" s="9" t="s">
        <v>8</v>
      </c>
      <c r="B5" s="3">
        <v>850</v>
      </c>
    </row>
    <row r="6" spans="1:2">
      <c r="A6" s="9" t="s">
        <v>20</v>
      </c>
      <c r="B6" s="3">
        <v>2890</v>
      </c>
    </row>
    <row r="7" spans="1:2">
      <c r="A7" s="9" t="s">
        <v>14</v>
      </c>
      <c r="B7" s="3">
        <v>5300</v>
      </c>
    </row>
    <row r="8" spans="1:2">
      <c r="A8" s="9" t="s">
        <v>28</v>
      </c>
      <c r="B8" s="3">
        <v>1450</v>
      </c>
    </row>
    <row r="9" spans="1:2">
      <c r="A9" s="9" t="s">
        <v>35</v>
      </c>
      <c r="B9" s="3">
        <v>1200</v>
      </c>
    </row>
    <row r="10" spans="1:2">
      <c r="A10" s="9" t="s">
        <v>24</v>
      </c>
      <c r="B10" s="3">
        <v>1120</v>
      </c>
    </row>
    <row r="11" spans="1:2">
      <c r="A11" s="9" t="s">
        <v>103</v>
      </c>
      <c r="B11" s="3">
        <v>13760</v>
      </c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A1AC-191D-4E4F-91D0-2361B9C651AB}">
  <dimension ref="A1:T14"/>
  <sheetViews>
    <sheetView topLeftCell="L1" workbookViewId="0">
      <selection activeCell="E30" sqref="E30"/>
    </sheetView>
  </sheetViews>
  <sheetFormatPr defaultRowHeight="13.8"/>
  <cols>
    <col min="1" max="1" width="15.296875" bestFit="1" customWidth="1"/>
    <col min="2" max="2" width="23" bestFit="1" customWidth="1"/>
    <col min="3" max="3" width="16.09765625" bestFit="1" customWidth="1"/>
    <col min="4" max="4" width="20.3984375" bestFit="1" customWidth="1"/>
    <col min="5" max="5" width="44.5" bestFit="1" customWidth="1"/>
    <col min="6" max="6" width="9.296875" bestFit="1" customWidth="1"/>
    <col min="7" max="7" width="15.59765625" bestFit="1" customWidth="1"/>
    <col min="8" max="8" width="18.8984375" bestFit="1" customWidth="1"/>
    <col min="9" max="9" width="16.09765625" bestFit="1" customWidth="1"/>
    <col min="10" max="10" width="18.3984375" bestFit="1" customWidth="1"/>
    <col min="11" max="11" width="15.09765625" bestFit="1" customWidth="1"/>
    <col min="12" max="12" width="16.296875" bestFit="1" customWidth="1"/>
    <col min="13" max="13" width="19.5" bestFit="1" customWidth="1"/>
    <col min="14" max="14" width="16.8984375" bestFit="1" customWidth="1"/>
    <col min="15" max="15" width="14.19921875" bestFit="1" customWidth="1"/>
    <col min="16" max="16" width="17.59765625" bestFit="1" customWidth="1"/>
    <col min="17" max="17" width="15.296875" bestFit="1" customWidth="1"/>
    <col min="18" max="18" width="11.59765625" bestFit="1" customWidth="1"/>
    <col min="19" max="19" width="35.796875" bestFit="1" customWidth="1"/>
    <col min="20" max="20" width="17.09765625" bestFit="1" customWidth="1"/>
  </cols>
  <sheetData>
    <row r="1" spans="1:20">
      <c r="A1" t="s">
        <v>37</v>
      </c>
      <c r="B1" t="s">
        <v>38</v>
      </c>
      <c r="C1" t="s">
        <v>3</v>
      </c>
      <c r="D1" t="s">
        <v>2</v>
      </c>
      <c r="E1" t="s">
        <v>39</v>
      </c>
      <c r="F1" t="s">
        <v>0</v>
      </c>
      <c r="G1" t="s">
        <v>40</v>
      </c>
      <c r="H1" t="s">
        <v>41</v>
      </c>
      <c r="I1" t="s">
        <v>116</v>
      </c>
      <c r="J1" t="s">
        <v>4</v>
      </c>
      <c r="K1" t="s">
        <v>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117</v>
      </c>
    </row>
    <row r="2" spans="1:20">
      <c r="A2" t="s">
        <v>50</v>
      </c>
      <c r="B2" t="s">
        <v>51</v>
      </c>
      <c r="C2" t="s">
        <v>9</v>
      </c>
      <c r="D2" t="s">
        <v>8</v>
      </c>
      <c r="E2" t="s">
        <v>52</v>
      </c>
      <c r="F2" t="s">
        <v>6</v>
      </c>
      <c r="G2" s="18">
        <v>46296</v>
      </c>
      <c r="H2" t="s">
        <v>11</v>
      </c>
      <c r="I2" t="s">
        <v>110</v>
      </c>
      <c r="J2" t="s">
        <v>10</v>
      </c>
      <c r="K2" t="s">
        <v>19</v>
      </c>
      <c r="L2">
        <v>850</v>
      </c>
      <c r="M2" t="s">
        <v>53</v>
      </c>
      <c r="N2" t="s">
        <v>54</v>
      </c>
      <c r="O2" s="18">
        <v>46298</v>
      </c>
      <c r="P2" s="18"/>
      <c r="Q2">
        <v>22</v>
      </c>
      <c r="R2" t="s">
        <v>59</v>
      </c>
      <c r="S2" t="s">
        <v>55</v>
      </c>
      <c r="T2" t="s">
        <v>124</v>
      </c>
    </row>
    <row r="3" spans="1:20">
      <c r="A3" t="s">
        <v>56</v>
      </c>
      <c r="B3" t="s">
        <v>57</v>
      </c>
      <c r="C3" t="s">
        <v>15</v>
      </c>
      <c r="D3" t="s">
        <v>14</v>
      </c>
      <c r="E3" t="s">
        <v>58</v>
      </c>
      <c r="F3" t="s">
        <v>6</v>
      </c>
      <c r="G3" s="18">
        <v>46293</v>
      </c>
      <c r="H3" t="s">
        <v>17</v>
      </c>
      <c r="I3" t="s">
        <v>112</v>
      </c>
      <c r="J3" t="s">
        <v>16</v>
      </c>
      <c r="K3" t="s">
        <v>23</v>
      </c>
      <c r="L3">
        <v>4200</v>
      </c>
      <c r="M3" t="s">
        <v>59</v>
      </c>
      <c r="N3" t="s">
        <v>60</v>
      </c>
      <c r="O3" s="18">
        <v>46297</v>
      </c>
      <c r="P3" s="18"/>
      <c r="Q3">
        <v>25</v>
      </c>
      <c r="R3" t="s">
        <v>59</v>
      </c>
      <c r="S3" t="s">
        <v>61</v>
      </c>
      <c r="T3" t="s">
        <v>125</v>
      </c>
    </row>
    <row r="4" spans="1:20">
      <c r="A4" t="s">
        <v>62</v>
      </c>
      <c r="B4" t="s">
        <v>63</v>
      </c>
      <c r="C4" t="s">
        <v>21</v>
      </c>
      <c r="D4" t="s">
        <v>24</v>
      </c>
      <c r="E4" t="s">
        <v>64</v>
      </c>
      <c r="F4" t="s">
        <v>12</v>
      </c>
      <c r="G4" s="18">
        <v>46297</v>
      </c>
      <c r="H4" t="s">
        <v>22</v>
      </c>
      <c r="I4" t="s">
        <v>110</v>
      </c>
      <c r="J4" t="s">
        <v>10</v>
      </c>
      <c r="K4" t="s">
        <v>13</v>
      </c>
      <c r="L4">
        <v>620</v>
      </c>
      <c r="M4" t="s">
        <v>53</v>
      </c>
      <c r="N4" t="s">
        <v>54</v>
      </c>
      <c r="O4" s="18">
        <v>46303</v>
      </c>
      <c r="P4" s="18"/>
      <c r="Q4">
        <v>21</v>
      </c>
      <c r="R4" t="s">
        <v>59</v>
      </c>
      <c r="S4" t="s">
        <v>65</v>
      </c>
      <c r="T4" t="s">
        <v>124</v>
      </c>
    </row>
    <row r="5" spans="1:20">
      <c r="A5" t="s">
        <v>66</v>
      </c>
      <c r="B5" t="s">
        <v>67</v>
      </c>
      <c r="C5" t="s">
        <v>25</v>
      </c>
      <c r="D5" t="s">
        <v>20</v>
      </c>
      <c r="E5" t="s">
        <v>68</v>
      </c>
      <c r="F5" t="s">
        <v>12</v>
      </c>
      <c r="G5" s="18">
        <v>46295</v>
      </c>
      <c r="H5" t="s">
        <v>26</v>
      </c>
      <c r="I5" t="s">
        <v>112</v>
      </c>
      <c r="J5" t="s">
        <v>16</v>
      </c>
      <c r="K5" t="s">
        <v>27</v>
      </c>
      <c r="L5">
        <v>540</v>
      </c>
      <c r="M5" t="s">
        <v>53</v>
      </c>
      <c r="N5" t="s">
        <v>54</v>
      </c>
      <c r="O5" s="18">
        <v>46300</v>
      </c>
      <c r="P5" s="18">
        <v>46299</v>
      </c>
      <c r="Q5">
        <v>4</v>
      </c>
      <c r="R5" t="s">
        <v>53</v>
      </c>
      <c r="S5" t="s">
        <v>69</v>
      </c>
      <c r="T5" t="s">
        <v>124</v>
      </c>
    </row>
    <row r="6" spans="1:20">
      <c r="A6" t="s">
        <v>70</v>
      </c>
      <c r="B6" t="s">
        <v>71</v>
      </c>
      <c r="C6" t="s">
        <v>29</v>
      </c>
      <c r="D6" t="s">
        <v>35</v>
      </c>
      <c r="E6" t="s">
        <v>72</v>
      </c>
      <c r="F6" t="s">
        <v>18</v>
      </c>
      <c r="G6" s="18">
        <v>46298</v>
      </c>
      <c r="H6" t="s">
        <v>30</v>
      </c>
      <c r="I6" t="s">
        <v>110</v>
      </c>
      <c r="J6" t="s">
        <v>10</v>
      </c>
      <c r="K6" t="s">
        <v>7</v>
      </c>
      <c r="L6">
        <v>300</v>
      </c>
      <c r="M6" t="s">
        <v>53</v>
      </c>
      <c r="N6" t="s">
        <v>54</v>
      </c>
      <c r="O6" s="18">
        <v>46307</v>
      </c>
      <c r="P6" s="18"/>
      <c r="Q6">
        <v>20</v>
      </c>
      <c r="R6" t="s">
        <v>59</v>
      </c>
      <c r="S6" t="s">
        <v>73</v>
      </c>
      <c r="T6" t="s">
        <v>124</v>
      </c>
    </row>
    <row r="7" spans="1:20">
      <c r="A7" t="s">
        <v>74</v>
      </c>
      <c r="B7" t="s">
        <v>75</v>
      </c>
      <c r="C7" t="s">
        <v>33</v>
      </c>
      <c r="D7" t="s">
        <v>28</v>
      </c>
      <c r="E7" t="s">
        <v>76</v>
      </c>
      <c r="F7" t="s">
        <v>12</v>
      </c>
      <c r="G7" s="18">
        <v>46290</v>
      </c>
      <c r="H7" t="s">
        <v>34</v>
      </c>
      <c r="I7" t="s">
        <v>112</v>
      </c>
      <c r="J7" t="s">
        <v>16</v>
      </c>
      <c r="K7" t="s">
        <v>19</v>
      </c>
      <c r="L7">
        <v>1450</v>
      </c>
      <c r="M7" t="s">
        <v>59</v>
      </c>
      <c r="N7" t="s">
        <v>77</v>
      </c>
      <c r="O7" s="18">
        <v>46296</v>
      </c>
      <c r="P7" s="18"/>
      <c r="Q7">
        <v>28</v>
      </c>
      <c r="R7" t="s">
        <v>59</v>
      </c>
      <c r="S7" t="s">
        <v>78</v>
      </c>
      <c r="T7" t="s">
        <v>124</v>
      </c>
    </row>
    <row r="8" spans="1:20">
      <c r="A8" t="s">
        <v>79</v>
      </c>
      <c r="B8" t="s">
        <v>80</v>
      </c>
      <c r="C8" t="s">
        <v>9</v>
      </c>
      <c r="D8" t="s">
        <v>32</v>
      </c>
      <c r="E8" t="s">
        <v>81</v>
      </c>
      <c r="F8" t="s">
        <v>18</v>
      </c>
      <c r="G8" s="18">
        <v>46300</v>
      </c>
      <c r="H8" t="s">
        <v>11</v>
      </c>
      <c r="I8" t="s">
        <v>110</v>
      </c>
      <c r="J8" t="s">
        <v>10</v>
      </c>
      <c r="K8" t="s">
        <v>7</v>
      </c>
      <c r="L8">
        <v>950</v>
      </c>
      <c r="M8" t="s">
        <v>53</v>
      </c>
      <c r="N8" t="s">
        <v>54</v>
      </c>
      <c r="O8" s="18">
        <v>46310</v>
      </c>
      <c r="P8" s="18"/>
      <c r="Q8">
        <v>18</v>
      </c>
      <c r="R8" t="s">
        <v>59</v>
      </c>
      <c r="S8" t="s">
        <v>82</v>
      </c>
      <c r="T8" t="s">
        <v>124</v>
      </c>
    </row>
    <row r="9" spans="1:20">
      <c r="A9" t="s">
        <v>83</v>
      </c>
      <c r="B9" t="s">
        <v>84</v>
      </c>
      <c r="C9" t="s">
        <v>15</v>
      </c>
      <c r="D9" t="s">
        <v>20</v>
      </c>
      <c r="E9" t="s">
        <v>85</v>
      </c>
      <c r="F9" t="s">
        <v>12</v>
      </c>
      <c r="G9" s="18">
        <v>46292</v>
      </c>
      <c r="H9" t="s">
        <v>17</v>
      </c>
      <c r="I9" t="s">
        <v>112</v>
      </c>
      <c r="J9" t="s">
        <v>16</v>
      </c>
      <c r="K9" t="s">
        <v>13</v>
      </c>
      <c r="L9">
        <v>1800</v>
      </c>
      <c r="M9" t="s">
        <v>59</v>
      </c>
      <c r="N9" t="s">
        <v>77</v>
      </c>
      <c r="O9" s="18">
        <v>46299</v>
      </c>
      <c r="P9" s="18"/>
      <c r="Q9">
        <v>26</v>
      </c>
      <c r="R9" t="s">
        <v>59</v>
      </c>
      <c r="S9" t="s">
        <v>86</v>
      </c>
      <c r="T9" t="s">
        <v>124</v>
      </c>
    </row>
    <row r="10" spans="1:20">
      <c r="A10" t="s">
        <v>87</v>
      </c>
      <c r="B10" t="s">
        <v>88</v>
      </c>
      <c r="C10" t="s">
        <v>21</v>
      </c>
      <c r="D10" t="s">
        <v>14</v>
      </c>
      <c r="E10" t="s">
        <v>89</v>
      </c>
      <c r="F10" t="s">
        <v>6</v>
      </c>
      <c r="G10" s="18">
        <v>46301</v>
      </c>
      <c r="H10" t="s">
        <v>22</v>
      </c>
      <c r="I10" t="s">
        <v>110</v>
      </c>
      <c r="J10" t="s">
        <v>10</v>
      </c>
      <c r="K10" t="s">
        <v>19</v>
      </c>
      <c r="L10">
        <v>1100</v>
      </c>
      <c r="M10" t="s">
        <v>53</v>
      </c>
      <c r="N10" t="s">
        <v>54</v>
      </c>
      <c r="O10" s="18">
        <v>46302</v>
      </c>
      <c r="P10" s="18"/>
      <c r="Q10">
        <v>17</v>
      </c>
      <c r="R10" t="s">
        <v>59</v>
      </c>
      <c r="S10" t="s">
        <v>90</v>
      </c>
      <c r="T10" t="s">
        <v>124</v>
      </c>
    </row>
    <row r="11" spans="1:20">
      <c r="A11" t="s">
        <v>91</v>
      </c>
      <c r="B11" t="s">
        <v>92</v>
      </c>
      <c r="C11" t="s">
        <v>25</v>
      </c>
      <c r="D11" t="s">
        <v>35</v>
      </c>
      <c r="E11" t="s">
        <v>93</v>
      </c>
      <c r="F11" t="s">
        <v>12</v>
      </c>
      <c r="G11" s="18">
        <v>46296</v>
      </c>
      <c r="H11" t="s">
        <v>26</v>
      </c>
      <c r="I11" t="s">
        <v>112</v>
      </c>
      <c r="J11" t="s">
        <v>16</v>
      </c>
      <c r="K11" t="s">
        <v>31</v>
      </c>
      <c r="L11">
        <v>900</v>
      </c>
      <c r="M11" t="s">
        <v>53</v>
      </c>
      <c r="N11" t="s">
        <v>54</v>
      </c>
      <c r="O11" s="18">
        <v>46301</v>
      </c>
      <c r="P11" s="18">
        <v>46300</v>
      </c>
      <c r="Q11">
        <v>4</v>
      </c>
      <c r="R11" t="s">
        <v>53</v>
      </c>
      <c r="S11" t="s">
        <v>94</v>
      </c>
      <c r="T11" t="s">
        <v>124</v>
      </c>
    </row>
    <row r="12" spans="1:20">
      <c r="A12" t="s">
        <v>126</v>
      </c>
      <c r="B12" t="s">
        <v>127</v>
      </c>
      <c r="C12" t="s">
        <v>9</v>
      </c>
      <c r="D12" t="s">
        <v>20</v>
      </c>
      <c r="E12" t="s">
        <v>128</v>
      </c>
      <c r="F12" t="s">
        <v>12</v>
      </c>
      <c r="G12" s="18">
        <v>46318</v>
      </c>
      <c r="H12" t="s">
        <v>11</v>
      </c>
      <c r="I12" t="s">
        <v>110</v>
      </c>
      <c r="J12" t="s">
        <v>10</v>
      </c>
      <c r="K12" t="s">
        <v>19</v>
      </c>
      <c r="L12">
        <v>350</v>
      </c>
      <c r="M12" t="s">
        <v>59</v>
      </c>
      <c r="N12" t="s">
        <v>60</v>
      </c>
      <c r="O12" s="18">
        <v>46335</v>
      </c>
      <c r="P12" s="18"/>
      <c r="Q12">
        <v>0</v>
      </c>
      <c r="R12" t="s">
        <v>53</v>
      </c>
      <c r="S12" t="s">
        <v>129</v>
      </c>
      <c r="T12" t="s">
        <v>125</v>
      </c>
    </row>
    <row r="13" spans="1:20">
      <c r="A13" t="s">
        <v>130</v>
      </c>
      <c r="B13" t="s">
        <v>131</v>
      </c>
      <c r="C13" t="s">
        <v>15</v>
      </c>
      <c r="D13" t="s">
        <v>24</v>
      </c>
      <c r="E13" t="s">
        <v>132</v>
      </c>
      <c r="F13" t="s">
        <v>18</v>
      </c>
      <c r="G13" s="18">
        <v>46318</v>
      </c>
      <c r="H13" t="s">
        <v>11</v>
      </c>
      <c r="I13" t="s">
        <v>110</v>
      </c>
      <c r="J13" t="s">
        <v>10</v>
      </c>
      <c r="K13" t="s">
        <v>7</v>
      </c>
      <c r="L13">
        <v>500</v>
      </c>
      <c r="M13" t="s">
        <v>53</v>
      </c>
      <c r="N13" t="s">
        <v>54</v>
      </c>
      <c r="O13" s="18">
        <v>46335</v>
      </c>
      <c r="P13" s="18"/>
      <c r="Q13">
        <v>0</v>
      </c>
      <c r="R13" t="s">
        <v>53</v>
      </c>
      <c r="S13" t="s">
        <v>133</v>
      </c>
      <c r="T13" t="s">
        <v>124</v>
      </c>
    </row>
    <row r="14" spans="1:20">
      <c r="A14" t="s">
        <v>134</v>
      </c>
      <c r="B14" t="s">
        <v>135</v>
      </c>
      <c r="C14" t="s">
        <v>9</v>
      </c>
      <c r="D14" t="s">
        <v>20</v>
      </c>
      <c r="E14" t="s">
        <v>136</v>
      </c>
      <c r="F14" t="s">
        <v>18</v>
      </c>
      <c r="G14" s="18">
        <v>46318</v>
      </c>
      <c r="H14" t="s">
        <v>11</v>
      </c>
      <c r="I14" t="s">
        <v>110</v>
      </c>
      <c r="J14" t="s">
        <v>10</v>
      </c>
      <c r="K14" t="s">
        <v>19</v>
      </c>
      <c r="L14">
        <v>200</v>
      </c>
      <c r="M14" t="s">
        <v>53</v>
      </c>
      <c r="N14" t="s">
        <v>60</v>
      </c>
      <c r="O14" s="18">
        <v>46335</v>
      </c>
      <c r="P14" s="18"/>
      <c r="Q14">
        <v>0</v>
      </c>
      <c r="R14" t="s">
        <v>53</v>
      </c>
      <c r="S14" t="s">
        <v>137</v>
      </c>
      <c r="T14" t="s">
        <v>124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0"/>
  <sheetViews>
    <sheetView zoomScale="50" zoomScaleNormal="50" workbookViewId="0">
      <pane ySplit="1" topLeftCell="A2" activePane="bottomLeft" state="frozen"/>
      <selection pane="bottomLeft" activeCell="S23" sqref="S23"/>
    </sheetView>
  </sheetViews>
  <sheetFormatPr defaultRowHeight="13.8"/>
  <cols>
    <col min="1" max="1" width="12" customWidth="1"/>
    <col min="2" max="2" width="18" customWidth="1"/>
    <col min="3" max="3" width="20" customWidth="1"/>
    <col min="4" max="4" width="22" customWidth="1"/>
    <col min="5" max="5" width="36" customWidth="1"/>
    <col min="6" max="6" width="10" customWidth="1"/>
    <col min="7" max="7" width="13" customWidth="1"/>
    <col min="8" max="9" width="22" customWidth="1"/>
    <col min="10" max="10" width="20" customWidth="1"/>
    <col min="11" max="11" width="18" customWidth="1"/>
    <col min="12" max="12" width="14" customWidth="1"/>
    <col min="13" max="14" width="16" customWidth="1"/>
    <col min="15" max="15" width="13" customWidth="1"/>
    <col min="16" max="16" width="15" customWidth="1"/>
    <col min="17" max="17" width="12" customWidth="1"/>
    <col min="18" max="18" width="10" customWidth="1"/>
    <col min="19" max="19" width="28" customWidth="1"/>
    <col min="20" max="20" width="20.09765625" customWidth="1"/>
  </cols>
  <sheetData>
    <row r="1" spans="1:20" ht="27.6">
      <c r="A1" s="2" t="s">
        <v>37</v>
      </c>
      <c r="B1" s="2" t="s">
        <v>38</v>
      </c>
      <c r="C1" s="2" t="s">
        <v>3</v>
      </c>
      <c r="D1" s="2" t="s">
        <v>2</v>
      </c>
      <c r="E1" s="2" t="s">
        <v>39</v>
      </c>
      <c r="F1" s="2" t="s">
        <v>0</v>
      </c>
      <c r="G1" s="2" t="s">
        <v>40</v>
      </c>
      <c r="H1" s="2" t="s">
        <v>41</v>
      </c>
      <c r="I1" s="2" t="s">
        <v>116</v>
      </c>
      <c r="J1" s="2" t="s">
        <v>4</v>
      </c>
      <c r="K1" s="2" t="s">
        <v>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46</v>
      </c>
      <c r="Q1" s="2" t="s">
        <v>47</v>
      </c>
      <c r="R1" s="2" t="s">
        <v>48</v>
      </c>
      <c r="S1" s="2" t="s">
        <v>49</v>
      </c>
      <c r="T1" t="s">
        <v>117</v>
      </c>
    </row>
    <row r="2" spans="1:20" ht="27.6">
      <c r="A2" s="4" t="s">
        <v>50</v>
      </c>
      <c r="B2" s="4" t="s">
        <v>51</v>
      </c>
      <c r="C2" s="4" t="s">
        <v>9</v>
      </c>
      <c r="D2" s="4" t="s">
        <v>8</v>
      </c>
      <c r="E2" s="4" t="s">
        <v>52</v>
      </c>
      <c r="F2" s="4" t="s">
        <v>6</v>
      </c>
      <c r="G2" s="5">
        <v>46296</v>
      </c>
      <c r="H2" s="4" t="s">
        <v>11</v>
      </c>
      <c r="I2" s="4" t="str">
        <f>_xlfn.XLOOKUP(H2,Assignee_Lookup!$A$2:$A$7,Assignee_Lookup!$B$2:$B$7,"Not Found")</f>
        <v>Internal</v>
      </c>
      <c r="J2" s="4" t="s">
        <v>10</v>
      </c>
      <c r="K2" s="4" t="s">
        <v>19</v>
      </c>
      <c r="L2" s="6">
        <v>850</v>
      </c>
      <c r="M2" s="4" t="s">
        <v>53</v>
      </c>
      <c r="N2" s="4" t="s">
        <v>54</v>
      </c>
      <c r="O2" s="5">
        <v>46298</v>
      </c>
      <c r="P2" s="5"/>
      <c r="Q2" s="4">
        <f ca="1">IF(P2&lt;&gt;"",P2-G2,TODAY()-G2)</f>
        <v>24</v>
      </c>
      <c r="R2" s="4" t="str">
        <f ca="1">IF(AND(O2&lt;&gt;"",O2&lt;TODAY(),K2&lt;&gt;"Completed",K2&lt;&gt;"Closed"),"Yes","No")</f>
        <v>Yes</v>
      </c>
      <c r="S2" s="4" t="s">
        <v>55</v>
      </c>
      <c r="T2" t="str">
        <f t="shared" ref="T2:T11" si="0">IF(AND(M2="Yes",N2="Pending"),"Approval Follow-up","No Approval Action")</f>
        <v>No Approval Action</v>
      </c>
    </row>
    <row r="3" spans="1:20">
      <c r="A3" s="4" t="s">
        <v>56</v>
      </c>
      <c r="B3" s="4" t="s">
        <v>57</v>
      </c>
      <c r="C3" s="4" t="s">
        <v>15</v>
      </c>
      <c r="D3" s="4" t="s">
        <v>14</v>
      </c>
      <c r="E3" s="4" t="s">
        <v>58</v>
      </c>
      <c r="F3" s="4" t="s">
        <v>6</v>
      </c>
      <c r="G3" s="5">
        <v>46293</v>
      </c>
      <c r="H3" s="4" t="s">
        <v>17</v>
      </c>
      <c r="I3" s="4" t="str">
        <f>_xlfn.XLOOKUP(H3,Assignee_Lookup!$A$2:$A$7,Assignee_Lookup!$B$2:$B$7,"Not Found")</f>
        <v>Vendor</v>
      </c>
      <c r="J3" s="4" t="s">
        <v>16</v>
      </c>
      <c r="K3" s="4" t="s">
        <v>23</v>
      </c>
      <c r="L3" s="6">
        <v>4200</v>
      </c>
      <c r="M3" s="4" t="s">
        <v>59</v>
      </c>
      <c r="N3" s="4" t="s">
        <v>60</v>
      </c>
      <c r="O3" s="5">
        <v>46297</v>
      </c>
      <c r="P3" s="5"/>
      <c r="Q3" s="4">
        <f t="shared" ref="Q3:Q11" ca="1" si="1">IF(P3&lt;&gt;"",P3-G3,TODAY()-G3)</f>
        <v>27</v>
      </c>
      <c r="R3" s="4" t="str">
        <f t="shared" ref="R3:R11" ca="1" si="2">IF(AND(O3&lt;&gt;"",O3&lt;TODAY(),K3&lt;&gt;"Completed",K3&lt;&gt;"Closed"),"Yes","No")</f>
        <v>Yes</v>
      </c>
      <c r="S3" s="4" t="s">
        <v>61</v>
      </c>
      <c r="T3" t="str">
        <f t="shared" si="0"/>
        <v>Approval Follow-up</v>
      </c>
    </row>
    <row r="4" spans="1:20">
      <c r="A4" s="4" t="s">
        <v>62</v>
      </c>
      <c r="B4" s="4" t="s">
        <v>63</v>
      </c>
      <c r="C4" s="4" t="s">
        <v>21</v>
      </c>
      <c r="D4" s="4" t="s">
        <v>24</v>
      </c>
      <c r="E4" s="4" t="s">
        <v>64</v>
      </c>
      <c r="F4" s="4" t="s">
        <v>12</v>
      </c>
      <c r="G4" s="5">
        <v>46297</v>
      </c>
      <c r="H4" s="4" t="s">
        <v>22</v>
      </c>
      <c r="I4" s="4" t="str">
        <f>_xlfn.XLOOKUP(H4,Assignee_Lookup!$A$2:$A$7,Assignee_Lookup!$B$2:$B$7,"Not Found")</f>
        <v>Internal</v>
      </c>
      <c r="J4" s="4" t="s">
        <v>10</v>
      </c>
      <c r="K4" s="4" t="s">
        <v>13</v>
      </c>
      <c r="L4" s="6">
        <v>620</v>
      </c>
      <c r="M4" s="4" t="s">
        <v>53</v>
      </c>
      <c r="N4" s="4" t="s">
        <v>54</v>
      </c>
      <c r="O4" s="5">
        <v>46303</v>
      </c>
      <c r="P4" s="5"/>
      <c r="Q4" s="4">
        <f t="shared" ca="1" si="1"/>
        <v>23</v>
      </c>
      <c r="R4" s="4" t="str">
        <f t="shared" ca="1" si="2"/>
        <v>Yes</v>
      </c>
      <c r="S4" s="4" t="s">
        <v>65</v>
      </c>
      <c r="T4" t="str">
        <f t="shared" si="0"/>
        <v>No Approval Action</v>
      </c>
    </row>
    <row r="5" spans="1:20">
      <c r="A5" s="4" t="s">
        <v>66</v>
      </c>
      <c r="B5" s="4" t="s">
        <v>67</v>
      </c>
      <c r="C5" s="4" t="s">
        <v>25</v>
      </c>
      <c r="D5" s="4" t="s">
        <v>20</v>
      </c>
      <c r="E5" s="4" t="s">
        <v>68</v>
      </c>
      <c r="F5" s="4" t="s">
        <v>12</v>
      </c>
      <c r="G5" s="5">
        <v>46295</v>
      </c>
      <c r="H5" s="4" t="s">
        <v>26</v>
      </c>
      <c r="I5" s="4" t="str">
        <f>_xlfn.XLOOKUP(H5,Assignee_Lookup!$A$2:$A$7,Assignee_Lookup!$B$2:$B$7,"Not Found")</f>
        <v>Vendor</v>
      </c>
      <c r="J5" s="4" t="s">
        <v>16</v>
      </c>
      <c r="K5" s="4" t="s">
        <v>27</v>
      </c>
      <c r="L5" s="6">
        <v>540</v>
      </c>
      <c r="M5" s="4" t="s">
        <v>53</v>
      </c>
      <c r="N5" s="4" t="s">
        <v>54</v>
      </c>
      <c r="O5" s="5">
        <v>46300</v>
      </c>
      <c r="P5" s="5">
        <v>46299</v>
      </c>
      <c r="Q5" s="4">
        <f t="shared" ca="1" si="1"/>
        <v>4</v>
      </c>
      <c r="R5" s="4" t="str">
        <f t="shared" ca="1" si="2"/>
        <v>No</v>
      </c>
      <c r="S5" s="4" t="s">
        <v>69</v>
      </c>
      <c r="T5" t="str">
        <f t="shared" si="0"/>
        <v>No Approval Action</v>
      </c>
    </row>
    <row r="6" spans="1:20">
      <c r="A6" s="4" t="s">
        <v>70</v>
      </c>
      <c r="B6" s="4" t="s">
        <v>71</v>
      </c>
      <c r="C6" s="4" t="s">
        <v>29</v>
      </c>
      <c r="D6" s="4" t="s">
        <v>35</v>
      </c>
      <c r="E6" s="4" t="s">
        <v>72</v>
      </c>
      <c r="F6" s="4" t="s">
        <v>18</v>
      </c>
      <c r="G6" s="5">
        <v>46298</v>
      </c>
      <c r="H6" s="4" t="s">
        <v>30</v>
      </c>
      <c r="I6" s="4" t="str">
        <f>_xlfn.XLOOKUP(H6,Assignee_Lookup!$A$2:$A$7,Assignee_Lookup!$B$2:$B$7,"Not Found")</f>
        <v>Internal</v>
      </c>
      <c r="J6" s="4" t="s">
        <v>10</v>
      </c>
      <c r="K6" s="4" t="s">
        <v>7</v>
      </c>
      <c r="L6" s="6">
        <v>300</v>
      </c>
      <c r="M6" s="4" t="s">
        <v>53</v>
      </c>
      <c r="N6" s="4" t="s">
        <v>54</v>
      </c>
      <c r="O6" s="5">
        <v>46307</v>
      </c>
      <c r="P6" s="5"/>
      <c r="Q6" s="4">
        <f t="shared" ca="1" si="1"/>
        <v>22</v>
      </c>
      <c r="R6" s="4" t="str">
        <f t="shared" ca="1" si="2"/>
        <v>Yes</v>
      </c>
      <c r="S6" s="4" t="s">
        <v>73</v>
      </c>
      <c r="T6" t="str">
        <f t="shared" si="0"/>
        <v>No Approval Action</v>
      </c>
    </row>
    <row r="7" spans="1:20">
      <c r="A7" s="4" t="s">
        <v>74</v>
      </c>
      <c r="B7" s="4" t="s">
        <v>75</v>
      </c>
      <c r="C7" s="4" t="s">
        <v>33</v>
      </c>
      <c r="D7" s="4" t="s">
        <v>28</v>
      </c>
      <c r="E7" s="4" t="s">
        <v>76</v>
      </c>
      <c r="F7" s="4" t="s">
        <v>12</v>
      </c>
      <c r="G7" s="5">
        <v>46290</v>
      </c>
      <c r="H7" s="4" t="s">
        <v>34</v>
      </c>
      <c r="I7" s="4" t="str">
        <f>_xlfn.XLOOKUP(H7,Assignee_Lookup!$A$2:$A$7,Assignee_Lookup!$B$2:$B$7,"Not Found")</f>
        <v>Vendor</v>
      </c>
      <c r="J7" s="4" t="s">
        <v>16</v>
      </c>
      <c r="K7" s="4" t="s">
        <v>19</v>
      </c>
      <c r="L7" s="6">
        <v>1450</v>
      </c>
      <c r="M7" s="4" t="s">
        <v>59</v>
      </c>
      <c r="N7" s="4" t="s">
        <v>77</v>
      </c>
      <c r="O7" s="5">
        <v>46296</v>
      </c>
      <c r="P7" s="5"/>
      <c r="Q7" s="4">
        <f t="shared" ca="1" si="1"/>
        <v>30</v>
      </c>
      <c r="R7" s="4" t="str">
        <f t="shared" ca="1" si="2"/>
        <v>Yes</v>
      </c>
      <c r="S7" s="4" t="s">
        <v>78</v>
      </c>
      <c r="T7" t="str">
        <f t="shared" si="0"/>
        <v>No Approval Action</v>
      </c>
    </row>
    <row r="8" spans="1:20">
      <c r="A8" s="4" t="s">
        <v>79</v>
      </c>
      <c r="B8" s="4" t="s">
        <v>80</v>
      </c>
      <c r="C8" s="4" t="s">
        <v>9</v>
      </c>
      <c r="D8" s="4" t="s">
        <v>32</v>
      </c>
      <c r="E8" s="4" t="s">
        <v>81</v>
      </c>
      <c r="F8" s="4" t="s">
        <v>18</v>
      </c>
      <c r="G8" s="5">
        <v>46300</v>
      </c>
      <c r="H8" s="4" t="s">
        <v>11</v>
      </c>
      <c r="I8" s="4" t="str">
        <f>_xlfn.XLOOKUP(H8,Assignee_Lookup!$A$2:$A$7,Assignee_Lookup!$B$2:$B$7,"Not Found")</f>
        <v>Internal</v>
      </c>
      <c r="J8" s="4" t="s">
        <v>10</v>
      </c>
      <c r="K8" s="4" t="s">
        <v>7</v>
      </c>
      <c r="L8" s="6">
        <v>950</v>
      </c>
      <c r="M8" s="4" t="s">
        <v>53</v>
      </c>
      <c r="N8" s="4" t="s">
        <v>54</v>
      </c>
      <c r="O8" s="5">
        <v>46310</v>
      </c>
      <c r="P8" s="5"/>
      <c r="Q8" s="4">
        <f t="shared" ca="1" si="1"/>
        <v>20</v>
      </c>
      <c r="R8" s="4" t="str">
        <f t="shared" ca="1" si="2"/>
        <v>Yes</v>
      </c>
      <c r="S8" s="4" t="s">
        <v>82</v>
      </c>
      <c r="T8" t="str">
        <f t="shared" si="0"/>
        <v>No Approval Action</v>
      </c>
    </row>
    <row r="9" spans="1:20">
      <c r="A9" s="4" t="s">
        <v>83</v>
      </c>
      <c r="B9" s="4" t="s">
        <v>84</v>
      </c>
      <c r="C9" s="4" t="s">
        <v>15</v>
      </c>
      <c r="D9" s="4" t="s">
        <v>20</v>
      </c>
      <c r="E9" s="4" t="s">
        <v>85</v>
      </c>
      <c r="F9" s="4" t="s">
        <v>12</v>
      </c>
      <c r="G9" s="5">
        <v>46292</v>
      </c>
      <c r="H9" s="4" t="s">
        <v>17</v>
      </c>
      <c r="I9" s="4" t="str">
        <f>_xlfn.XLOOKUP(H9,Assignee_Lookup!$A$2:$A$7,Assignee_Lookup!$B$2:$B$7,"Not Found")</f>
        <v>Vendor</v>
      </c>
      <c r="J9" s="4" t="s">
        <v>16</v>
      </c>
      <c r="K9" s="4" t="s">
        <v>13</v>
      </c>
      <c r="L9" s="6">
        <v>1800</v>
      </c>
      <c r="M9" s="4" t="s">
        <v>59</v>
      </c>
      <c r="N9" s="4" t="s">
        <v>77</v>
      </c>
      <c r="O9" s="5">
        <v>46299</v>
      </c>
      <c r="P9" s="5"/>
      <c r="Q9" s="4">
        <f t="shared" ca="1" si="1"/>
        <v>28</v>
      </c>
      <c r="R9" s="4" t="str">
        <f t="shared" ca="1" si="2"/>
        <v>Yes</v>
      </c>
      <c r="S9" s="4" t="s">
        <v>86</v>
      </c>
      <c r="T9" t="str">
        <f t="shared" si="0"/>
        <v>No Approval Action</v>
      </c>
    </row>
    <row r="10" spans="1:20">
      <c r="A10" s="4" t="s">
        <v>87</v>
      </c>
      <c r="B10" s="4" t="s">
        <v>88</v>
      </c>
      <c r="C10" s="4" t="s">
        <v>21</v>
      </c>
      <c r="D10" s="4" t="s">
        <v>14</v>
      </c>
      <c r="E10" s="4" t="s">
        <v>89</v>
      </c>
      <c r="F10" s="4" t="s">
        <v>6</v>
      </c>
      <c r="G10" s="5">
        <v>46301</v>
      </c>
      <c r="H10" s="4" t="s">
        <v>22</v>
      </c>
      <c r="I10" s="4" t="str">
        <f>_xlfn.XLOOKUP(H10,Assignee_Lookup!$A$2:$A$7,Assignee_Lookup!$B$2:$B$7,"Not Found")</f>
        <v>Internal</v>
      </c>
      <c r="J10" s="4" t="s">
        <v>10</v>
      </c>
      <c r="K10" s="4" t="s">
        <v>19</v>
      </c>
      <c r="L10" s="6">
        <v>1100</v>
      </c>
      <c r="M10" s="4" t="s">
        <v>53</v>
      </c>
      <c r="N10" s="4" t="s">
        <v>54</v>
      </c>
      <c r="O10" s="5">
        <v>46302</v>
      </c>
      <c r="P10" s="5"/>
      <c r="Q10" s="4">
        <f t="shared" ca="1" si="1"/>
        <v>19</v>
      </c>
      <c r="R10" s="4" t="str">
        <f t="shared" ca="1" si="2"/>
        <v>Yes</v>
      </c>
      <c r="S10" s="4" t="s">
        <v>90</v>
      </c>
      <c r="T10" t="str">
        <f t="shared" si="0"/>
        <v>No Approval Action</v>
      </c>
    </row>
    <row r="11" spans="1:20">
      <c r="A11" s="4" t="s">
        <v>91</v>
      </c>
      <c r="B11" s="4" t="s">
        <v>92</v>
      </c>
      <c r="C11" s="4" t="s">
        <v>25</v>
      </c>
      <c r="D11" s="4" t="s">
        <v>35</v>
      </c>
      <c r="E11" s="4" t="s">
        <v>93</v>
      </c>
      <c r="F11" s="4" t="s">
        <v>12</v>
      </c>
      <c r="G11" s="5">
        <v>46296</v>
      </c>
      <c r="H11" s="4" t="s">
        <v>26</v>
      </c>
      <c r="I11" s="4" t="str">
        <f>_xlfn.XLOOKUP(H11,Assignee_Lookup!$A$2:$A$7,Assignee_Lookup!$B$2:$B$7,"Not Found")</f>
        <v>Vendor</v>
      </c>
      <c r="J11" s="4" t="s">
        <v>16</v>
      </c>
      <c r="K11" s="4" t="s">
        <v>31</v>
      </c>
      <c r="L11" s="6">
        <v>900</v>
      </c>
      <c r="M11" s="4" t="s">
        <v>53</v>
      </c>
      <c r="N11" s="4" t="s">
        <v>54</v>
      </c>
      <c r="O11" s="5">
        <v>46301</v>
      </c>
      <c r="P11" s="5">
        <v>46300</v>
      </c>
      <c r="Q11" s="4">
        <f t="shared" ca="1" si="1"/>
        <v>4</v>
      </c>
      <c r="R11" s="4" t="str">
        <f t="shared" ca="1" si="2"/>
        <v>No</v>
      </c>
      <c r="S11" s="4" t="s">
        <v>94</v>
      </c>
      <c r="T11" t="str">
        <f t="shared" si="0"/>
        <v>No Approval Action</v>
      </c>
    </row>
    <row r="12" spans="1:20">
      <c r="A12" s="4" t="s">
        <v>126</v>
      </c>
      <c r="B12" s="4" t="s">
        <v>127</v>
      </c>
      <c r="C12" s="4" t="s">
        <v>9</v>
      </c>
      <c r="D12" s="4" t="s">
        <v>20</v>
      </c>
      <c r="E12" s="4" t="s">
        <v>128</v>
      </c>
      <c r="F12" s="4" t="s">
        <v>12</v>
      </c>
      <c r="G12" s="5">
        <v>46318</v>
      </c>
      <c r="H12" s="4" t="s">
        <v>11</v>
      </c>
      <c r="I12" s="4" t="str">
        <f>_xlfn.XLOOKUP(H12,Assignee_Lookup!$A$2:$A$7,Assignee_Lookup!$B$2:$B$7,"Not Found")</f>
        <v>Internal</v>
      </c>
      <c r="J12" s="4" t="s">
        <v>10</v>
      </c>
      <c r="K12" s="4" t="s">
        <v>19</v>
      </c>
      <c r="L12" s="6">
        <v>350</v>
      </c>
      <c r="M12" s="4" t="s">
        <v>59</v>
      </c>
      <c r="N12" s="4" t="s">
        <v>60</v>
      </c>
      <c r="O12" s="5">
        <v>46335</v>
      </c>
      <c r="P12" s="5"/>
      <c r="Q12" s="4">
        <f ca="1">IF(P12&lt;&gt;"",P12-G12,TODAY()-G12)</f>
        <v>2</v>
      </c>
      <c r="R12" s="4" t="str">
        <f ca="1">IF(AND(O12&lt;&gt;"",O12&lt;TODAY(),K12&lt;&gt;"Completed",K12&lt;&gt;"Closed"),"Yes","No")</f>
        <v>No</v>
      </c>
      <c r="S12" s="4" t="s">
        <v>129</v>
      </c>
      <c r="T12" t="str">
        <f>IF(AND(M12="Yes",N12="Pending"),"Approval Follow-up","No Approval Action")</f>
        <v>Approval Follow-up</v>
      </c>
    </row>
    <row r="13" spans="1:20">
      <c r="A13" s="4" t="s">
        <v>130</v>
      </c>
      <c r="B13" s="4" t="s">
        <v>131</v>
      </c>
      <c r="C13" s="4" t="s">
        <v>15</v>
      </c>
      <c r="D13" s="4" t="s">
        <v>24</v>
      </c>
      <c r="E13" s="4" t="s">
        <v>132</v>
      </c>
      <c r="F13" s="4" t="s">
        <v>18</v>
      </c>
      <c r="G13" s="5">
        <v>46318</v>
      </c>
      <c r="H13" s="4" t="s">
        <v>11</v>
      </c>
      <c r="I13" s="4" t="str">
        <f>_xlfn.XLOOKUP(H13,Assignee_Lookup!$A$2:$A$7,Assignee_Lookup!$B$2:$B$7,"Not Found")</f>
        <v>Internal</v>
      </c>
      <c r="J13" s="4" t="s">
        <v>10</v>
      </c>
      <c r="K13" s="4" t="s">
        <v>7</v>
      </c>
      <c r="L13" s="6">
        <v>500</v>
      </c>
      <c r="M13" s="4" t="s">
        <v>53</v>
      </c>
      <c r="N13" s="4" t="s">
        <v>54</v>
      </c>
      <c r="O13" s="5">
        <v>46335</v>
      </c>
      <c r="P13" s="5"/>
      <c r="Q13" s="4">
        <f ca="1">IF(P13&lt;&gt;"",P13-G13,TODAY()-G13)</f>
        <v>2</v>
      </c>
      <c r="R13" s="4" t="str">
        <f ca="1">IF(AND(O13&lt;&gt;"",O13&lt;TODAY(),K13&lt;&gt;"Completed",K13&lt;&gt;"Closed"),"Yes","No")</f>
        <v>No</v>
      </c>
      <c r="S13" s="4" t="s">
        <v>133</v>
      </c>
      <c r="T13" t="str">
        <f>IF(AND(M13="Yes",N13="Pending"),"Approval Follow-up","No Approval Action")</f>
        <v>No Approval Action</v>
      </c>
    </row>
    <row r="14" spans="1:20" ht="27.6">
      <c r="A14" s="4" t="s">
        <v>134</v>
      </c>
      <c r="B14" s="4" t="s">
        <v>135</v>
      </c>
      <c r="C14" s="4" t="s">
        <v>9</v>
      </c>
      <c r="D14" s="4" t="s">
        <v>20</v>
      </c>
      <c r="E14" s="4" t="s">
        <v>136</v>
      </c>
      <c r="F14" s="4" t="s">
        <v>18</v>
      </c>
      <c r="G14" s="5">
        <v>46318</v>
      </c>
      <c r="H14" s="4" t="s">
        <v>11</v>
      </c>
      <c r="I14" s="4" t="str">
        <f>_xlfn.XLOOKUP(H14,Assignee_Lookup!$A$2:$A$7,Assignee_Lookup!$B$2:$B$7,"Not Found")</f>
        <v>Internal</v>
      </c>
      <c r="J14" s="4" t="s">
        <v>10</v>
      </c>
      <c r="K14" s="4" t="s">
        <v>19</v>
      </c>
      <c r="L14" s="6">
        <v>200</v>
      </c>
      <c r="M14" s="4" t="s">
        <v>53</v>
      </c>
      <c r="N14" s="4" t="s">
        <v>60</v>
      </c>
      <c r="O14" s="5">
        <v>46335</v>
      </c>
      <c r="P14" s="5"/>
      <c r="Q14" s="4">
        <f ca="1">IF(P14&lt;&gt;"",P14-G14,TODAY()-G14)</f>
        <v>2</v>
      </c>
      <c r="R14" s="4" t="str">
        <f ca="1">IF(AND(O14&lt;&gt;"",O14&lt;TODAY(),K14&lt;&gt;"Completed",K14&lt;&gt;"Closed"),"Yes","No")</f>
        <v>No</v>
      </c>
      <c r="S14" s="4" t="s">
        <v>137</v>
      </c>
      <c r="T14" t="str">
        <f>IF(AND(M14="Yes",N14="Pending"),"Approval Follow-up","No Approval Action")</f>
        <v>No Approval Action</v>
      </c>
    </row>
    <row r="15" spans="1:20">
      <c r="A15" s="4"/>
      <c r="B15" s="4"/>
      <c r="C15" s="4"/>
      <c r="D15" s="4"/>
      <c r="E15" s="4"/>
      <c r="F15" s="4"/>
      <c r="G15" s="5"/>
      <c r="H15" s="4"/>
      <c r="I15" s="4"/>
      <c r="J15" s="4"/>
      <c r="K15" s="4"/>
      <c r="L15" s="6"/>
      <c r="M15" s="4"/>
      <c r="N15" s="4"/>
      <c r="O15" s="5"/>
      <c r="P15" s="5"/>
      <c r="Q15" s="4"/>
      <c r="R15" s="4"/>
      <c r="S15" s="4"/>
    </row>
    <row r="16" spans="1:20">
      <c r="A16" s="4"/>
      <c r="B16" s="4"/>
      <c r="C16" s="4"/>
      <c r="D16" s="4"/>
      <c r="E16" s="4"/>
      <c r="F16" s="4"/>
      <c r="G16" s="5"/>
      <c r="H16" s="4"/>
      <c r="I16" s="4"/>
      <c r="J16" s="4"/>
      <c r="K16" s="4"/>
      <c r="L16" s="6"/>
      <c r="M16" s="4"/>
      <c r="N16" s="4"/>
      <c r="O16" s="5"/>
      <c r="P16" s="5"/>
      <c r="Q16" s="4"/>
      <c r="R16" s="4"/>
      <c r="S16" s="4"/>
    </row>
    <row r="17" spans="1:19">
      <c r="A17" s="4"/>
      <c r="B17" s="4"/>
      <c r="C17" s="4"/>
      <c r="D17" s="4"/>
      <c r="E17" s="4"/>
      <c r="F17" s="4"/>
      <c r="G17" s="5"/>
      <c r="H17" s="4"/>
      <c r="I17" s="4"/>
      <c r="J17" s="4"/>
      <c r="K17" s="4"/>
      <c r="L17" s="6"/>
      <c r="M17" s="4"/>
      <c r="N17" s="4"/>
      <c r="O17" s="5"/>
      <c r="P17" s="5"/>
      <c r="Q17" s="4"/>
      <c r="R17" s="4"/>
      <c r="S17" s="4"/>
    </row>
    <row r="18" spans="1:19">
      <c r="A18" s="4"/>
      <c r="B18" s="4"/>
      <c r="C18" s="4"/>
      <c r="D18" s="4"/>
      <c r="E18" s="4"/>
      <c r="F18" s="4"/>
      <c r="G18" s="5"/>
      <c r="H18" s="4"/>
      <c r="I18" s="4"/>
      <c r="J18" s="4"/>
      <c r="K18" s="4"/>
      <c r="L18" s="6"/>
      <c r="M18" s="4"/>
      <c r="N18" s="4"/>
      <c r="O18" s="5"/>
      <c r="P18" s="5"/>
      <c r="Q18" s="4"/>
      <c r="R18" s="4"/>
      <c r="S18" s="4"/>
    </row>
    <row r="19" spans="1:19">
      <c r="A19" s="4"/>
      <c r="B19" s="4"/>
      <c r="C19" s="4"/>
      <c r="D19" s="4"/>
      <c r="E19" s="4"/>
      <c r="F19" s="4"/>
      <c r="G19" s="5"/>
      <c r="H19" s="12"/>
      <c r="I19" s="4"/>
      <c r="J19" s="4"/>
      <c r="K19" s="4"/>
      <c r="L19" s="6"/>
      <c r="M19" s="4"/>
      <c r="N19" s="4"/>
      <c r="O19" s="5"/>
      <c r="P19" s="5"/>
      <c r="Q19" s="4"/>
      <c r="R19" s="4"/>
      <c r="S19" s="4"/>
    </row>
    <row r="20" spans="1:19">
      <c r="A20" s="4"/>
      <c r="B20" s="4"/>
      <c r="C20" s="4"/>
      <c r="D20" s="4"/>
      <c r="E20" s="4"/>
      <c r="F20" s="4"/>
      <c r="G20" s="5"/>
      <c r="H20" s="4"/>
      <c r="I20" s="4"/>
      <c r="J20" s="4"/>
      <c r="K20" s="4"/>
      <c r="L20" s="6"/>
      <c r="M20" s="4"/>
      <c r="N20" s="4"/>
      <c r="O20" s="5"/>
      <c r="P20" s="5"/>
      <c r="Q20" s="4"/>
      <c r="R20" s="4"/>
      <c r="S20" s="4"/>
    </row>
    <row r="21" spans="1:19">
      <c r="A21" s="4"/>
      <c r="B21" s="4"/>
      <c r="C21" s="4"/>
      <c r="D21" s="4"/>
      <c r="E21" s="4"/>
      <c r="F21" s="4"/>
      <c r="G21" s="5"/>
      <c r="H21" s="4"/>
      <c r="I21" s="4"/>
      <c r="J21" s="4"/>
      <c r="K21" s="4"/>
      <c r="L21" s="6"/>
      <c r="M21" s="4"/>
      <c r="N21" s="4"/>
      <c r="O21" s="5"/>
      <c r="P21" s="5"/>
      <c r="Q21" s="4"/>
      <c r="R21" s="4"/>
      <c r="S21" s="4"/>
    </row>
    <row r="22" spans="1:19">
      <c r="A22" s="4"/>
      <c r="B22" s="4"/>
      <c r="C22" s="4"/>
      <c r="D22" s="4"/>
      <c r="E22" s="4"/>
      <c r="F22" s="4"/>
      <c r="G22" s="5"/>
      <c r="H22" s="4"/>
      <c r="I22" s="4"/>
      <c r="J22" s="4"/>
      <c r="K22" s="4"/>
      <c r="L22" s="6"/>
      <c r="M22" s="4"/>
      <c r="N22" s="4"/>
      <c r="O22" s="5"/>
      <c r="P22" s="5"/>
      <c r="Q22" s="4"/>
      <c r="R22" s="4"/>
      <c r="S22" s="4"/>
    </row>
    <row r="23" spans="1:19">
      <c r="A23" s="4"/>
      <c r="B23" s="4"/>
      <c r="C23" s="4"/>
      <c r="D23" s="4"/>
      <c r="E23" s="4"/>
      <c r="F23" s="4"/>
      <c r="G23" s="5"/>
      <c r="H23" s="4"/>
      <c r="I23" s="4"/>
      <c r="J23" s="4"/>
      <c r="K23" s="4"/>
      <c r="L23" s="6"/>
      <c r="M23" s="4"/>
      <c r="N23" s="4"/>
      <c r="O23" s="5"/>
      <c r="P23" s="5"/>
      <c r="Q23" s="4"/>
      <c r="R23" s="4"/>
      <c r="S23" s="4"/>
    </row>
    <row r="24" spans="1:19">
      <c r="A24" s="4"/>
      <c r="B24" s="4"/>
      <c r="C24" s="4"/>
      <c r="D24" s="4"/>
      <c r="E24" s="4"/>
      <c r="F24" s="4"/>
      <c r="G24" s="5"/>
      <c r="H24" s="4"/>
      <c r="I24" s="4"/>
      <c r="J24" s="4"/>
      <c r="K24" s="4"/>
      <c r="L24" s="6"/>
      <c r="M24" s="4"/>
      <c r="N24" s="4"/>
      <c r="O24" s="5"/>
      <c r="P24" s="5"/>
      <c r="Q24" s="4"/>
      <c r="R24" s="4"/>
      <c r="S24" s="4"/>
    </row>
    <row r="25" spans="1:19">
      <c r="A25" s="4"/>
      <c r="B25" s="4"/>
      <c r="C25" s="4"/>
      <c r="D25" s="4"/>
      <c r="E25" s="4"/>
      <c r="F25" s="4"/>
      <c r="G25" s="5"/>
      <c r="H25" s="4"/>
      <c r="I25" s="4"/>
      <c r="J25" s="4"/>
      <c r="K25" s="4"/>
      <c r="L25" s="6"/>
      <c r="M25" s="4"/>
      <c r="N25" s="4"/>
      <c r="O25" s="5"/>
      <c r="P25" s="5"/>
      <c r="Q25" s="4"/>
      <c r="R25" s="4"/>
      <c r="S25" s="4"/>
    </row>
    <row r="26" spans="1:19">
      <c r="A26" s="4"/>
      <c r="B26" s="4"/>
      <c r="C26" s="4"/>
      <c r="D26" s="4"/>
      <c r="E26" s="4"/>
      <c r="F26" s="4"/>
      <c r="G26" s="5"/>
      <c r="H26" s="4"/>
      <c r="I26" s="4"/>
      <c r="J26" s="4"/>
      <c r="K26" s="4"/>
      <c r="L26" s="6"/>
      <c r="M26" s="4"/>
      <c r="N26" s="4"/>
      <c r="O26" s="5"/>
      <c r="P26" s="5"/>
      <c r="Q26" s="4"/>
      <c r="R26" s="4"/>
      <c r="S26" s="4"/>
    </row>
    <row r="27" spans="1:19">
      <c r="A27" s="4"/>
      <c r="B27" s="4"/>
      <c r="C27" s="4"/>
      <c r="D27" s="4"/>
      <c r="E27" s="4"/>
      <c r="F27" s="4"/>
      <c r="G27" s="5"/>
      <c r="H27" s="4"/>
      <c r="I27" s="4"/>
      <c r="J27" s="4"/>
      <c r="K27" s="4"/>
      <c r="L27" s="6"/>
      <c r="M27" s="4"/>
      <c r="N27" s="4"/>
      <c r="O27" s="5"/>
      <c r="P27" s="5"/>
      <c r="Q27" s="4"/>
      <c r="R27" s="4"/>
      <c r="S27" s="4"/>
    </row>
    <row r="28" spans="1:19">
      <c r="A28" s="4"/>
      <c r="B28" s="4"/>
      <c r="C28" s="4"/>
      <c r="D28" s="4"/>
      <c r="E28" s="4"/>
      <c r="F28" s="4"/>
      <c r="G28" s="5"/>
      <c r="H28" s="4"/>
      <c r="I28" s="4"/>
      <c r="J28" s="4"/>
      <c r="K28" s="4"/>
      <c r="L28" s="6"/>
      <c r="M28" s="4"/>
      <c r="N28" s="4"/>
      <c r="O28" s="5"/>
      <c r="P28" s="5"/>
      <c r="Q28" s="4"/>
      <c r="R28" s="4"/>
      <c r="S28" s="4"/>
    </row>
    <row r="29" spans="1:19">
      <c r="A29" s="4"/>
      <c r="B29" s="4"/>
      <c r="C29" s="4"/>
      <c r="D29" s="4"/>
      <c r="E29" s="4"/>
      <c r="F29" s="4"/>
      <c r="G29" s="5"/>
      <c r="H29" s="4"/>
      <c r="I29" s="4"/>
      <c r="J29" s="4"/>
      <c r="K29" s="4"/>
      <c r="L29" s="6"/>
      <c r="M29" s="4"/>
      <c r="N29" s="4"/>
      <c r="O29" s="5"/>
      <c r="P29" s="5"/>
      <c r="Q29" s="4"/>
      <c r="R29" s="4"/>
      <c r="S29" s="4"/>
    </row>
    <row r="30" spans="1:19">
      <c r="A30" s="4"/>
      <c r="B30" s="4"/>
      <c r="C30" s="4"/>
      <c r="D30" s="4"/>
      <c r="E30" s="4"/>
      <c r="F30" s="4"/>
      <c r="G30" s="5"/>
      <c r="H30" s="4"/>
      <c r="I30" s="4"/>
      <c r="J30" s="4"/>
      <c r="K30" s="4"/>
      <c r="L30" s="6"/>
      <c r="M30" s="4"/>
      <c r="N30" s="4"/>
      <c r="O30" s="5"/>
      <c r="P30" s="5"/>
      <c r="Q30" s="4"/>
      <c r="R30" s="4"/>
      <c r="S30" s="4"/>
    </row>
    <row r="31" spans="1:19">
      <c r="A31" s="4"/>
      <c r="B31" s="4"/>
      <c r="C31" s="4"/>
      <c r="D31" s="4"/>
      <c r="E31" s="4"/>
      <c r="F31" s="4"/>
      <c r="G31" s="5"/>
      <c r="H31" s="4"/>
      <c r="I31" s="4"/>
      <c r="J31" s="4"/>
      <c r="K31" s="4"/>
      <c r="L31" s="6"/>
      <c r="M31" s="4"/>
      <c r="N31" s="4"/>
      <c r="O31" s="5"/>
      <c r="P31" s="5"/>
      <c r="Q31" s="4"/>
      <c r="R31" s="4"/>
      <c r="S31" s="4"/>
    </row>
    <row r="32" spans="1:19">
      <c r="A32" s="4"/>
      <c r="B32" s="4"/>
      <c r="C32" s="4"/>
      <c r="D32" s="4"/>
      <c r="E32" s="4"/>
      <c r="F32" s="4"/>
      <c r="G32" s="5"/>
      <c r="H32" s="4"/>
      <c r="I32" s="4"/>
      <c r="J32" s="4"/>
      <c r="K32" s="4"/>
      <c r="L32" s="6"/>
      <c r="M32" s="4"/>
      <c r="N32" s="4"/>
      <c r="O32" s="5"/>
      <c r="P32" s="5"/>
      <c r="Q32" s="4"/>
      <c r="R32" s="4"/>
      <c r="S32" s="4"/>
    </row>
    <row r="33" spans="1:19">
      <c r="A33" s="4"/>
      <c r="B33" s="4"/>
      <c r="C33" s="4"/>
      <c r="D33" s="4"/>
      <c r="E33" s="4"/>
      <c r="F33" s="4"/>
      <c r="G33" s="5"/>
      <c r="H33" s="4"/>
      <c r="I33" s="4"/>
      <c r="J33" s="4"/>
      <c r="K33" s="4"/>
      <c r="L33" s="6"/>
      <c r="M33" s="4"/>
      <c r="N33" s="4"/>
      <c r="O33" s="5"/>
      <c r="P33" s="5"/>
      <c r="Q33" s="4"/>
      <c r="R33" s="4"/>
      <c r="S33" s="4"/>
    </row>
    <row r="34" spans="1:19">
      <c r="A34" s="4"/>
      <c r="B34" s="4"/>
      <c r="C34" s="4"/>
      <c r="D34" s="4"/>
      <c r="E34" s="4"/>
      <c r="F34" s="4"/>
      <c r="G34" s="5"/>
      <c r="H34" s="4"/>
      <c r="I34" s="4"/>
      <c r="J34" s="4"/>
      <c r="K34" s="4"/>
      <c r="L34" s="6"/>
      <c r="M34" s="4"/>
      <c r="N34" s="4"/>
      <c r="O34" s="5"/>
      <c r="P34" s="5"/>
      <c r="Q34" s="4"/>
      <c r="R34" s="4"/>
      <c r="S34" s="4"/>
    </row>
    <row r="35" spans="1:19">
      <c r="A35" s="4"/>
      <c r="B35" s="4"/>
      <c r="C35" s="4"/>
      <c r="D35" s="4"/>
      <c r="E35" s="4"/>
      <c r="F35" s="4"/>
      <c r="G35" s="5"/>
      <c r="H35" s="4"/>
      <c r="I35" s="4"/>
      <c r="J35" s="4"/>
      <c r="K35" s="4"/>
      <c r="L35" s="6"/>
      <c r="M35" s="4"/>
      <c r="N35" s="4"/>
      <c r="O35" s="5"/>
      <c r="P35" s="5"/>
      <c r="Q35" s="4"/>
      <c r="R35" s="4"/>
      <c r="S35" s="4"/>
    </row>
    <row r="36" spans="1:19">
      <c r="A36" s="4"/>
      <c r="B36" s="4"/>
      <c r="C36" s="4"/>
      <c r="D36" s="4"/>
      <c r="E36" s="4"/>
      <c r="F36" s="4"/>
      <c r="G36" s="5"/>
      <c r="H36" s="4"/>
      <c r="I36" s="4"/>
      <c r="J36" s="4"/>
      <c r="K36" s="4"/>
      <c r="L36" s="6"/>
      <c r="M36" s="4"/>
      <c r="N36" s="4"/>
      <c r="O36" s="5"/>
      <c r="P36" s="5"/>
      <c r="Q36" s="4"/>
      <c r="R36" s="4"/>
      <c r="S36" s="4"/>
    </row>
    <row r="37" spans="1:19">
      <c r="A37" s="4"/>
      <c r="B37" s="4"/>
      <c r="C37" s="4"/>
      <c r="D37" s="4"/>
      <c r="E37" s="4"/>
      <c r="F37" s="4"/>
      <c r="G37" s="5"/>
      <c r="H37" s="4"/>
      <c r="I37" s="4"/>
      <c r="J37" s="4"/>
      <c r="K37" s="4"/>
      <c r="L37" s="6"/>
      <c r="M37" s="4"/>
      <c r="N37" s="4"/>
      <c r="O37" s="5"/>
      <c r="P37" s="5"/>
      <c r="Q37" s="4"/>
      <c r="R37" s="4"/>
      <c r="S37" s="4"/>
    </row>
    <row r="38" spans="1:19">
      <c r="A38" s="4"/>
      <c r="B38" s="4"/>
      <c r="C38" s="4"/>
      <c r="D38" s="4"/>
      <c r="E38" s="4"/>
      <c r="F38" s="4"/>
      <c r="G38" s="5"/>
      <c r="H38" s="4"/>
      <c r="I38" s="4"/>
      <c r="J38" s="4"/>
      <c r="K38" s="4"/>
      <c r="L38" s="6"/>
      <c r="M38" s="4"/>
      <c r="N38" s="4"/>
      <c r="O38" s="5"/>
      <c r="P38" s="5"/>
      <c r="Q38" s="4"/>
      <c r="R38" s="4"/>
      <c r="S38" s="4"/>
    </row>
    <row r="39" spans="1:19">
      <c r="A39" s="4"/>
      <c r="B39" s="4"/>
      <c r="C39" s="4"/>
      <c r="D39" s="4"/>
      <c r="E39" s="4"/>
      <c r="F39" s="4"/>
      <c r="G39" s="5"/>
      <c r="H39" s="4"/>
      <c r="I39" s="4"/>
      <c r="J39" s="4"/>
      <c r="K39" s="4"/>
      <c r="L39" s="6"/>
      <c r="M39" s="4"/>
      <c r="N39" s="4"/>
      <c r="O39" s="5"/>
      <c r="P39" s="5"/>
      <c r="Q39" s="4"/>
      <c r="R39" s="4"/>
      <c r="S39" s="4"/>
    </row>
    <row r="40" spans="1:19">
      <c r="A40" s="4"/>
      <c r="B40" s="4"/>
      <c r="C40" s="4"/>
      <c r="D40" s="4"/>
      <c r="E40" s="4"/>
      <c r="F40" s="4"/>
      <c r="G40" s="5"/>
      <c r="H40" s="4"/>
      <c r="I40" s="4"/>
      <c r="J40" s="4"/>
      <c r="K40" s="4"/>
      <c r="L40" s="6"/>
      <c r="M40" s="4"/>
      <c r="N40" s="4"/>
      <c r="O40" s="5"/>
      <c r="P40" s="5"/>
      <c r="Q40" s="4"/>
      <c r="R40" s="4"/>
      <c r="S40" s="4"/>
    </row>
    <row r="41" spans="1:19">
      <c r="A41" s="4"/>
      <c r="B41" s="4"/>
      <c r="C41" s="4"/>
      <c r="D41" s="4"/>
      <c r="E41" s="4"/>
      <c r="F41" s="4"/>
      <c r="G41" s="5"/>
      <c r="H41" s="4"/>
      <c r="I41" s="4"/>
      <c r="J41" s="4"/>
      <c r="K41" s="4"/>
      <c r="L41" s="6"/>
      <c r="M41" s="4"/>
      <c r="N41" s="4"/>
      <c r="O41" s="5"/>
      <c r="P41" s="5"/>
      <c r="Q41" s="4"/>
      <c r="R41" s="4"/>
      <c r="S41" s="4"/>
    </row>
    <row r="42" spans="1:19">
      <c r="A42" s="4"/>
      <c r="B42" s="4"/>
      <c r="C42" s="4"/>
      <c r="D42" s="4"/>
      <c r="E42" s="4"/>
      <c r="F42" s="4"/>
      <c r="G42" s="5"/>
      <c r="H42" s="4"/>
      <c r="I42" s="4"/>
      <c r="J42" s="4"/>
      <c r="K42" s="4"/>
      <c r="L42" s="6"/>
      <c r="M42" s="4"/>
      <c r="N42" s="4"/>
      <c r="O42" s="5"/>
      <c r="P42" s="5"/>
      <c r="Q42" s="4"/>
      <c r="R42" s="4"/>
      <c r="S42" s="4"/>
    </row>
    <row r="43" spans="1:19">
      <c r="A43" s="4"/>
      <c r="B43" s="4"/>
      <c r="C43" s="4"/>
      <c r="D43" s="4"/>
      <c r="E43" s="4"/>
      <c r="F43" s="4"/>
      <c r="G43" s="5"/>
      <c r="H43" s="4"/>
      <c r="I43" s="4"/>
      <c r="J43" s="4"/>
      <c r="K43" s="4"/>
      <c r="L43" s="6"/>
      <c r="M43" s="4"/>
      <c r="N43" s="4"/>
      <c r="O43" s="5"/>
      <c r="P43" s="5"/>
      <c r="Q43" s="4"/>
      <c r="R43" s="4"/>
      <c r="S43" s="4"/>
    </row>
    <row r="44" spans="1:19">
      <c r="A44" s="4"/>
      <c r="B44" s="4"/>
      <c r="C44" s="4"/>
      <c r="D44" s="4"/>
      <c r="E44" s="4"/>
      <c r="F44" s="4"/>
      <c r="G44" s="5"/>
      <c r="H44" s="4"/>
      <c r="I44" s="4"/>
      <c r="J44" s="4"/>
      <c r="K44" s="4"/>
      <c r="L44" s="6"/>
      <c r="M44" s="4"/>
      <c r="N44" s="4"/>
      <c r="O44" s="5"/>
      <c r="P44" s="5"/>
      <c r="Q44" s="4"/>
      <c r="R44" s="4"/>
      <c r="S44" s="4"/>
    </row>
    <row r="45" spans="1:19">
      <c r="A45" s="4"/>
      <c r="B45" s="4"/>
      <c r="C45" s="4"/>
      <c r="D45" s="4"/>
      <c r="E45" s="4"/>
      <c r="F45" s="4"/>
      <c r="G45" s="5"/>
      <c r="H45" s="4"/>
      <c r="I45" s="4"/>
      <c r="J45" s="4"/>
      <c r="K45" s="4"/>
      <c r="L45" s="6"/>
      <c r="M45" s="4"/>
      <c r="N45" s="4"/>
      <c r="O45" s="5"/>
      <c r="P45" s="5"/>
      <c r="Q45" s="4"/>
      <c r="R45" s="4"/>
      <c r="S45" s="4"/>
    </row>
    <row r="46" spans="1:19">
      <c r="A46" s="4"/>
      <c r="B46" s="4"/>
      <c r="C46" s="4"/>
      <c r="D46" s="4"/>
      <c r="E46" s="4"/>
      <c r="F46" s="4"/>
      <c r="G46" s="5"/>
      <c r="H46" s="4"/>
      <c r="I46" s="4"/>
      <c r="J46" s="4"/>
      <c r="K46" s="4"/>
      <c r="L46" s="6"/>
      <c r="M46" s="4"/>
      <c r="N46" s="4"/>
      <c r="O46" s="5"/>
      <c r="P46" s="5"/>
      <c r="Q46" s="4"/>
      <c r="R46" s="4"/>
      <c r="S46" s="4"/>
    </row>
    <row r="47" spans="1:19">
      <c r="A47" s="4"/>
      <c r="B47" s="4"/>
      <c r="C47" s="4"/>
      <c r="D47" s="4"/>
      <c r="E47" s="4"/>
      <c r="F47" s="4"/>
      <c r="G47" s="5"/>
      <c r="H47" s="4"/>
      <c r="I47" s="4"/>
      <c r="J47" s="4"/>
      <c r="K47" s="4"/>
      <c r="L47" s="6"/>
      <c r="M47" s="4"/>
      <c r="N47" s="4"/>
      <c r="O47" s="5"/>
      <c r="P47" s="5"/>
      <c r="Q47" s="4"/>
      <c r="R47" s="4"/>
      <c r="S47" s="4"/>
    </row>
    <row r="48" spans="1:19">
      <c r="A48" s="4"/>
      <c r="B48" s="4"/>
      <c r="C48" s="4"/>
      <c r="D48" s="4"/>
      <c r="E48" s="4"/>
      <c r="F48" s="4"/>
      <c r="G48" s="5"/>
      <c r="H48" s="4"/>
      <c r="I48" s="4"/>
      <c r="J48" s="4"/>
      <c r="K48" s="4"/>
      <c r="L48" s="6"/>
      <c r="M48" s="4"/>
      <c r="N48" s="4"/>
      <c r="O48" s="5"/>
      <c r="P48" s="5"/>
      <c r="Q48" s="4"/>
      <c r="R48" s="4"/>
      <c r="S48" s="4"/>
    </row>
    <row r="49" spans="1:19">
      <c r="A49" s="4"/>
      <c r="B49" s="4"/>
      <c r="C49" s="4"/>
      <c r="D49" s="4"/>
      <c r="E49" s="4"/>
      <c r="F49" s="4"/>
      <c r="G49" s="5"/>
      <c r="H49" s="4"/>
      <c r="I49" s="4"/>
      <c r="J49" s="4"/>
      <c r="K49" s="4"/>
      <c r="L49" s="6"/>
      <c r="M49" s="4"/>
      <c r="N49" s="4"/>
      <c r="O49" s="5"/>
      <c r="P49" s="5"/>
      <c r="Q49" s="4"/>
      <c r="R49" s="4"/>
      <c r="S49" s="4"/>
    </row>
    <row r="50" spans="1:19">
      <c r="A50" s="4"/>
      <c r="B50" s="4"/>
      <c r="C50" s="4"/>
      <c r="D50" s="4"/>
      <c r="E50" s="4"/>
      <c r="F50" s="4"/>
      <c r="G50" s="5"/>
      <c r="H50" s="4"/>
      <c r="I50" s="4"/>
      <c r="J50" s="4"/>
      <c r="K50" s="4"/>
      <c r="L50" s="6"/>
      <c r="M50" s="4"/>
      <c r="N50" s="4"/>
      <c r="O50" s="5"/>
      <c r="P50" s="5"/>
      <c r="Q50" s="4"/>
      <c r="R50" s="4"/>
      <c r="S50" s="4"/>
    </row>
    <row r="51" spans="1:19">
      <c r="A51" s="4"/>
      <c r="B51" s="4"/>
      <c r="C51" s="4"/>
      <c r="D51" s="4"/>
      <c r="E51" s="4"/>
      <c r="F51" s="4"/>
      <c r="G51" s="5"/>
      <c r="H51" s="4"/>
      <c r="I51" s="4"/>
      <c r="J51" s="4"/>
      <c r="K51" s="4"/>
      <c r="L51" s="6"/>
      <c r="M51" s="4"/>
      <c r="N51" s="4"/>
      <c r="O51" s="5"/>
      <c r="P51" s="5"/>
      <c r="Q51" s="4"/>
      <c r="R51" s="4"/>
      <c r="S51" s="4"/>
    </row>
    <row r="52" spans="1:19">
      <c r="A52" s="4"/>
      <c r="B52" s="4"/>
      <c r="C52" s="4"/>
      <c r="D52" s="4"/>
      <c r="E52" s="4"/>
      <c r="F52" s="4"/>
      <c r="G52" s="5"/>
      <c r="H52" s="4"/>
      <c r="I52" s="4"/>
      <c r="J52" s="4"/>
      <c r="K52" s="4"/>
      <c r="L52" s="6"/>
      <c r="M52" s="4"/>
      <c r="N52" s="4"/>
      <c r="O52" s="5"/>
      <c r="P52" s="5"/>
      <c r="Q52" s="4"/>
      <c r="R52" s="4"/>
      <c r="S52" s="4"/>
    </row>
    <row r="53" spans="1:19">
      <c r="A53" s="4"/>
      <c r="B53" s="4"/>
      <c r="C53" s="4"/>
      <c r="D53" s="4"/>
      <c r="E53" s="4"/>
      <c r="F53" s="4"/>
      <c r="G53" s="5"/>
      <c r="H53" s="4"/>
      <c r="I53" s="4"/>
      <c r="J53" s="4"/>
      <c r="K53" s="4"/>
      <c r="L53" s="6"/>
      <c r="M53" s="4"/>
      <c r="N53" s="4"/>
      <c r="O53" s="5"/>
      <c r="P53" s="5"/>
      <c r="Q53" s="4"/>
      <c r="R53" s="4"/>
      <c r="S53" s="4"/>
    </row>
    <row r="54" spans="1:19">
      <c r="A54" s="4"/>
      <c r="B54" s="4"/>
      <c r="C54" s="4"/>
      <c r="D54" s="4"/>
      <c r="E54" s="4"/>
      <c r="F54" s="4"/>
      <c r="G54" s="5"/>
      <c r="H54" s="4"/>
      <c r="I54" s="4"/>
      <c r="J54" s="4"/>
      <c r="K54" s="4"/>
      <c r="L54" s="6"/>
      <c r="M54" s="4"/>
      <c r="N54" s="4"/>
      <c r="O54" s="5"/>
      <c r="P54" s="5"/>
      <c r="Q54" s="4"/>
      <c r="R54" s="4"/>
      <c r="S54" s="4"/>
    </row>
    <row r="55" spans="1:19">
      <c r="A55" s="4"/>
      <c r="B55" s="4"/>
      <c r="C55" s="4"/>
      <c r="D55" s="4"/>
      <c r="E55" s="4"/>
      <c r="F55" s="4"/>
      <c r="G55" s="5"/>
      <c r="H55" s="4"/>
      <c r="I55" s="4"/>
      <c r="J55" s="4"/>
      <c r="K55" s="4"/>
      <c r="L55" s="6"/>
      <c r="M55" s="4"/>
      <c r="N55" s="4"/>
      <c r="O55" s="5"/>
      <c r="P55" s="5"/>
      <c r="Q55" s="4"/>
      <c r="R55" s="4"/>
      <c r="S55" s="4"/>
    </row>
    <row r="56" spans="1:19">
      <c r="A56" s="4"/>
      <c r="B56" s="4"/>
      <c r="C56" s="4"/>
      <c r="D56" s="4"/>
      <c r="E56" s="4"/>
      <c r="F56" s="4"/>
      <c r="G56" s="5"/>
      <c r="H56" s="4"/>
      <c r="I56" s="4"/>
      <c r="J56" s="4"/>
      <c r="K56" s="4"/>
      <c r="L56" s="6"/>
      <c r="M56" s="4"/>
      <c r="N56" s="4"/>
      <c r="O56" s="5"/>
      <c r="P56" s="5"/>
      <c r="Q56" s="4"/>
      <c r="R56" s="4"/>
      <c r="S56" s="4"/>
    </row>
    <row r="57" spans="1:19">
      <c r="A57" s="4"/>
      <c r="B57" s="4"/>
      <c r="C57" s="4"/>
      <c r="D57" s="4"/>
      <c r="E57" s="4"/>
      <c r="F57" s="4"/>
      <c r="G57" s="5"/>
      <c r="H57" s="4"/>
      <c r="I57" s="4"/>
      <c r="J57" s="4"/>
      <c r="K57" s="4"/>
      <c r="L57" s="6"/>
      <c r="M57" s="4"/>
      <c r="N57" s="4"/>
      <c r="O57" s="5"/>
      <c r="P57" s="5"/>
      <c r="Q57" s="4"/>
      <c r="R57" s="4"/>
      <c r="S57" s="4"/>
    </row>
    <row r="58" spans="1:19">
      <c r="A58" s="4"/>
      <c r="B58" s="4"/>
      <c r="C58" s="4"/>
      <c r="D58" s="4"/>
      <c r="E58" s="4"/>
      <c r="F58" s="4"/>
      <c r="G58" s="5"/>
      <c r="H58" s="4"/>
      <c r="I58" s="4"/>
      <c r="J58" s="4"/>
      <c r="K58" s="4"/>
      <c r="L58" s="6"/>
      <c r="M58" s="4"/>
      <c r="N58" s="4"/>
      <c r="O58" s="5"/>
      <c r="P58" s="5"/>
      <c r="Q58" s="4"/>
      <c r="R58" s="4"/>
      <c r="S58" s="4"/>
    </row>
    <row r="59" spans="1:19">
      <c r="A59" s="4"/>
      <c r="B59" s="4"/>
      <c r="C59" s="4"/>
      <c r="D59" s="4"/>
      <c r="E59" s="4"/>
      <c r="F59" s="4"/>
      <c r="G59" s="5"/>
      <c r="H59" s="4"/>
      <c r="I59" s="4"/>
      <c r="J59" s="4"/>
      <c r="K59" s="4"/>
      <c r="L59" s="6"/>
      <c r="M59" s="4"/>
      <c r="N59" s="4"/>
      <c r="O59" s="5"/>
      <c r="P59" s="5"/>
      <c r="Q59" s="4"/>
      <c r="R59" s="4"/>
      <c r="S59" s="4"/>
    </row>
    <row r="60" spans="1:19">
      <c r="A60" s="4"/>
      <c r="B60" s="4"/>
      <c r="C60" s="4"/>
      <c r="D60" s="4"/>
      <c r="E60" s="4"/>
      <c r="F60" s="4"/>
      <c r="G60" s="5"/>
      <c r="H60" s="4"/>
      <c r="I60" s="4"/>
      <c r="J60" s="4"/>
      <c r="K60" s="4"/>
      <c r="L60" s="6"/>
      <c r="M60" s="4"/>
      <c r="N60" s="4"/>
      <c r="O60" s="5"/>
      <c r="P60" s="5"/>
      <c r="Q60" s="4"/>
      <c r="R60" s="4"/>
      <c r="S60" s="4"/>
    </row>
    <row r="61" spans="1:19">
      <c r="A61" s="4"/>
      <c r="B61" s="4"/>
      <c r="C61" s="4"/>
      <c r="D61" s="4"/>
      <c r="E61" s="4"/>
      <c r="F61" s="4"/>
      <c r="G61" s="5"/>
      <c r="H61" s="4"/>
      <c r="I61" s="4"/>
      <c r="J61" s="4"/>
      <c r="K61" s="4"/>
      <c r="L61" s="6"/>
      <c r="M61" s="4"/>
      <c r="N61" s="4"/>
      <c r="O61" s="5"/>
      <c r="P61" s="5"/>
      <c r="Q61" s="4"/>
      <c r="R61" s="4"/>
      <c r="S61" s="4"/>
    </row>
    <row r="62" spans="1:19">
      <c r="A62" s="4"/>
      <c r="B62" s="4"/>
      <c r="C62" s="4"/>
      <c r="D62" s="4"/>
      <c r="E62" s="4"/>
      <c r="F62" s="4"/>
      <c r="G62" s="5"/>
      <c r="H62" s="4"/>
      <c r="I62" s="4"/>
      <c r="J62" s="4"/>
      <c r="K62" s="4"/>
      <c r="L62" s="6"/>
      <c r="M62" s="4"/>
      <c r="N62" s="4"/>
      <c r="O62" s="5"/>
      <c r="P62" s="5"/>
      <c r="Q62" s="4"/>
      <c r="R62" s="4"/>
      <c r="S62" s="4"/>
    </row>
    <row r="63" spans="1:19">
      <c r="A63" s="4"/>
      <c r="B63" s="4"/>
      <c r="C63" s="4"/>
      <c r="D63" s="4"/>
      <c r="E63" s="4"/>
      <c r="F63" s="4"/>
      <c r="G63" s="5"/>
      <c r="H63" s="4"/>
      <c r="I63" s="4"/>
      <c r="J63" s="4"/>
      <c r="K63" s="4"/>
      <c r="L63" s="6"/>
      <c r="M63" s="4"/>
      <c r="N63" s="4"/>
      <c r="O63" s="5"/>
      <c r="P63" s="5"/>
      <c r="Q63" s="4"/>
      <c r="R63" s="4"/>
      <c r="S63" s="4"/>
    </row>
    <row r="64" spans="1:19">
      <c r="A64" s="4"/>
      <c r="B64" s="4"/>
      <c r="C64" s="4"/>
      <c r="D64" s="4"/>
      <c r="E64" s="4"/>
      <c r="F64" s="4"/>
      <c r="G64" s="5"/>
      <c r="H64" s="4"/>
      <c r="I64" s="4"/>
      <c r="J64" s="4"/>
      <c r="K64" s="4"/>
      <c r="L64" s="6"/>
      <c r="M64" s="4"/>
      <c r="N64" s="4"/>
      <c r="O64" s="5"/>
      <c r="P64" s="5"/>
      <c r="Q64" s="4"/>
      <c r="R64" s="4"/>
      <c r="S64" s="4"/>
    </row>
    <row r="65" spans="1:19">
      <c r="A65" s="4"/>
      <c r="B65" s="4"/>
      <c r="C65" s="4"/>
      <c r="D65" s="4"/>
      <c r="E65" s="4"/>
      <c r="F65" s="4"/>
      <c r="G65" s="5"/>
      <c r="H65" s="4"/>
      <c r="I65" s="4"/>
      <c r="J65" s="4"/>
      <c r="K65" s="4"/>
      <c r="L65" s="6"/>
      <c r="M65" s="4"/>
      <c r="N65" s="4"/>
      <c r="O65" s="5"/>
      <c r="P65" s="5"/>
      <c r="Q65" s="4"/>
      <c r="R65" s="4"/>
      <c r="S65" s="4"/>
    </row>
    <row r="66" spans="1:19">
      <c r="A66" s="4"/>
      <c r="B66" s="4"/>
      <c r="C66" s="4"/>
      <c r="D66" s="4"/>
      <c r="E66" s="4"/>
      <c r="F66" s="4"/>
      <c r="G66" s="5"/>
      <c r="H66" s="4"/>
      <c r="I66" s="4"/>
      <c r="J66" s="4"/>
      <c r="K66" s="4"/>
      <c r="L66" s="6"/>
      <c r="M66" s="4"/>
      <c r="N66" s="4"/>
      <c r="O66" s="5"/>
      <c r="P66" s="5"/>
      <c r="Q66" s="4"/>
      <c r="R66" s="4"/>
      <c r="S66" s="4"/>
    </row>
    <row r="67" spans="1:19">
      <c r="A67" s="4"/>
      <c r="B67" s="4"/>
      <c r="C67" s="4"/>
      <c r="D67" s="4"/>
      <c r="E67" s="4"/>
      <c r="F67" s="4"/>
      <c r="G67" s="5"/>
      <c r="H67" s="4"/>
      <c r="I67" s="4"/>
      <c r="J67" s="4"/>
      <c r="K67" s="4"/>
      <c r="L67" s="6"/>
      <c r="M67" s="4"/>
      <c r="N67" s="4"/>
      <c r="O67" s="5"/>
      <c r="P67" s="5"/>
      <c r="Q67" s="4"/>
      <c r="R67" s="4"/>
      <c r="S67" s="4"/>
    </row>
    <row r="68" spans="1:19">
      <c r="A68" s="4"/>
      <c r="B68" s="4"/>
      <c r="C68" s="4"/>
      <c r="D68" s="4"/>
      <c r="E68" s="4"/>
      <c r="F68" s="4"/>
      <c r="G68" s="5"/>
      <c r="H68" s="4"/>
      <c r="I68" s="4"/>
      <c r="J68" s="4"/>
      <c r="K68" s="4"/>
      <c r="L68" s="6"/>
      <c r="M68" s="4"/>
      <c r="N68" s="4"/>
      <c r="O68" s="5"/>
      <c r="P68" s="5"/>
      <c r="Q68" s="4"/>
      <c r="R68" s="4"/>
      <c r="S68" s="4"/>
    </row>
    <row r="69" spans="1:19">
      <c r="A69" s="4"/>
      <c r="B69" s="4"/>
      <c r="C69" s="4"/>
      <c r="D69" s="4"/>
      <c r="E69" s="4"/>
      <c r="F69" s="4"/>
      <c r="G69" s="5"/>
      <c r="H69" s="4"/>
      <c r="I69" s="4"/>
      <c r="J69" s="4"/>
      <c r="K69" s="4"/>
      <c r="L69" s="6"/>
      <c r="M69" s="4"/>
      <c r="N69" s="4"/>
      <c r="O69" s="5"/>
      <c r="P69" s="5"/>
      <c r="Q69" s="4"/>
      <c r="R69" s="4"/>
      <c r="S69" s="4"/>
    </row>
    <row r="70" spans="1:19">
      <c r="A70" s="4"/>
      <c r="B70" s="4"/>
      <c r="C70" s="4"/>
      <c r="D70" s="4"/>
      <c r="E70" s="4"/>
      <c r="F70" s="4"/>
      <c r="G70" s="5"/>
      <c r="H70" s="4"/>
      <c r="I70" s="4"/>
      <c r="J70" s="4"/>
      <c r="K70" s="4"/>
      <c r="L70" s="6"/>
      <c r="M70" s="4"/>
      <c r="N70" s="4"/>
      <c r="O70" s="5"/>
      <c r="P70" s="5"/>
      <c r="Q70" s="4"/>
      <c r="R70" s="4"/>
      <c r="S70" s="4"/>
    </row>
    <row r="71" spans="1:19">
      <c r="A71" s="4"/>
      <c r="B71" s="4"/>
      <c r="C71" s="4"/>
      <c r="D71" s="4"/>
      <c r="E71" s="4"/>
      <c r="F71" s="4"/>
      <c r="G71" s="5"/>
      <c r="H71" s="4"/>
      <c r="I71" s="4"/>
      <c r="J71" s="4"/>
      <c r="K71" s="4"/>
      <c r="L71" s="6"/>
      <c r="M71" s="4"/>
      <c r="N71" s="4"/>
      <c r="O71" s="5"/>
      <c r="P71" s="5"/>
      <c r="Q71" s="4"/>
      <c r="R71" s="4"/>
      <c r="S71" s="4"/>
    </row>
    <row r="72" spans="1:19">
      <c r="A72" s="4"/>
      <c r="B72" s="4"/>
      <c r="C72" s="4"/>
      <c r="D72" s="4"/>
      <c r="E72" s="4"/>
      <c r="F72" s="4"/>
      <c r="G72" s="5"/>
      <c r="H72" s="4"/>
      <c r="I72" s="4"/>
      <c r="J72" s="4"/>
      <c r="K72" s="4"/>
      <c r="L72" s="6"/>
      <c r="M72" s="4"/>
      <c r="N72" s="4"/>
      <c r="O72" s="5"/>
      <c r="P72" s="5"/>
      <c r="Q72" s="4"/>
      <c r="R72" s="4"/>
      <c r="S72" s="4"/>
    </row>
    <row r="73" spans="1:19">
      <c r="A73" s="4"/>
      <c r="B73" s="4"/>
      <c r="C73" s="4"/>
      <c r="D73" s="4"/>
      <c r="E73" s="4"/>
      <c r="F73" s="4"/>
      <c r="G73" s="5"/>
      <c r="H73" s="4"/>
      <c r="I73" s="4"/>
      <c r="J73" s="4"/>
      <c r="K73" s="4"/>
      <c r="L73" s="6"/>
      <c r="M73" s="4"/>
      <c r="N73" s="4"/>
      <c r="O73" s="5"/>
      <c r="P73" s="5"/>
      <c r="Q73" s="4"/>
      <c r="R73" s="4"/>
      <c r="S73" s="4"/>
    </row>
    <row r="74" spans="1:19">
      <c r="A74" s="4"/>
      <c r="B74" s="4"/>
      <c r="C74" s="4"/>
      <c r="D74" s="4"/>
      <c r="E74" s="4"/>
      <c r="F74" s="4"/>
      <c r="G74" s="5"/>
      <c r="H74" s="4"/>
      <c r="I74" s="4"/>
      <c r="J74" s="4"/>
      <c r="K74" s="4"/>
      <c r="L74" s="6"/>
      <c r="M74" s="4"/>
      <c r="N74" s="4"/>
      <c r="O74" s="5"/>
      <c r="P74" s="5"/>
      <c r="Q74" s="4"/>
      <c r="R74" s="4"/>
      <c r="S74" s="4"/>
    </row>
    <row r="75" spans="1:19">
      <c r="A75" s="4"/>
      <c r="B75" s="4"/>
      <c r="C75" s="4"/>
      <c r="D75" s="4"/>
      <c r="E75" s="4"/>
      <c r="F75" s="4"/>
      <c r="G75" s="5"/>
      <c r="H75" s="4"/>
      <c r="I75" s="4"/>
      <c r="J75" s="4"/>
      <c r="K75" s="4"/>
      <c r="L75" s="6"/>
      <c r="M75" s="4"/>
      <c r="N75" s="4"/>
      <c r="O75" s="5"/>
      <c r="P75" s="5"/>
      <c r="Q75" s="4"/>
      <c r="R75" s="4"/>
      <c r="S75" s="4"/>
    </row>
    <row r="76" spans="1:19">
      <c r="A76" s="4"/>
      <c r="B76" s="4"/>
      <c r="C76" s="4"/>
      <c r="D76" s="4"/>
      <c r="E76" s="4"/>
      <c r="F76" s="4"/>
      <c r="G76" s="5"/>
      <c r="H76" s="4"/>
      <c r="I76" s="4"/>
      <c r="J76" s="4"/>
      <c r="K76" s="4"/>
      <c r="L76" s="6"/>
      <c r="M76" s="4"/>
      <c r="N76" s="4"/>
      <c r="O76" s="5"/>
      <c r="P76" s="5"/>
      <c r="Q76" s="4"/>
      <c r="R76" s="4"/>
      <c r="S76" s="4"/>
    </row>
    <row r="77" spans="1:19">
      <c r="A77" s="4"/>
      <c r="B77" s="4"/>
      <c r="C77" s="4"/>
      <c r="D77" s="4"/>
      <c r="E77" s="4"/>
      <c r="F77" s="4"/>
      <c r="G77" s="5"/>
      <c r="H77" s="4"/>
      <c r="I77" s="4"/>
      <c r="J77" s="4"/>
      <c r="K77" s="4"/>
      <c r="L77" s="6"/>
      <c r="M77" s="4"/>
      <c r="N77" s="4"/>
      <c r="O77" s="5"/>
      <c r="P77" s="5"/>
      <c r="Q77" s="4"/>
      <c r="R77" s="4"/>
      <c r="S77" s="4"/>
    </row>
    <row r="78" spans="1:19">
      <c r="A78" s="4"/>
      <c r="B78" s="4"/>
      <c r="C78" s="4"/>
      <c r="D78" s="4"/>
      <c r="E78" s="4"/>
      <c r="F78" s="4"/>
      <c r="G78" s="5"/>
      <c r="H78" s="4"/>
      <c r="I78" s="4"/>
      <c r="J78" s="4"/>
      <c r="K78" s="4"/>
      <c r="L78" s="6"/>
      <c r="M78" s="4"/>
      <c r="N78" s="4"/>
      <c r="O78" s="5"/>
      <c r="P78" s="5"/>
      <c r="Q78" s="4"/>
      <c r="R78" s="4"/>
      <c r="S78" s="4"/>
    </row>
    <row r="79" spans="1:19">
      <c r="A79" s="4"/>
      <c r="B79" s="4"/>
      <c r="C79" s="4"/>
      <c r="D79" s="4"/>
      <c r="E79" s="4"/>
      <c r="F79" s="4"/>
      <c r="G79" s="5"/>
      <c r="H79" s="4"/>
      <c r="I79" s="4"/>
      <c r="J79" s="4"/>
      <c r="K79" s="4"/>
      <c r="L79" s="6"/>
      <c r="M79" s="4"/>
      <c r="N79" s="4"/>
      <c r="O79" s="5"/>
      <c r="P79" s="5"/>
      <c r="Q79" s="4"/>
      <c r="R79" s="4"/>
      <c r="S79" s="4"/>
    </row>
    <row r="80" spans="1:19">
      <c r="A80" s="4"/>
      <c r="B80" s="4"/>
      <c r="C80" s="4"/>
      <c r="D80" s="4"/>
      <c r="E80" s="4"/>
      <c r="F80" s="4"/>
      <c r="G80" s="5"/>
      <c r="H80" s="4"/>
      <c r="I80" s="4"/>
      <c r="J80" s="4"/>
      <c r="K80" s="4"/>
      <c r="L80" s="6"/>
      <c r="M80" s="4"/>
      <c r="N80" s="4"/>
      <c r="O80" s="5"/>
      <c r="P80" s="5"/>
      <c r="Q80" s="4"/>
      <c r="R80" s="4"/>
      <c r="S80" s="4"/>
    </row>
    <row r="81" spans="1:19">
      <c r="A81" s="4"/>
      <c r="B81" s="4"/>
      <c r="C81" s="4"/>
      <c r="D81" s="4"/>
      <c r="E81" s="4"/>
      <c r="F81" s="4"/>
      <c r="G81" s="5"/>
      <c r="H81" s="4"/>
      <c r="I81" s="4"/>
      <c r="J81" s="4"/>
      <c r="K81" s="4"/>
      <c r="L81" s="6"/>
      <c r="M81" s="4"/>
      <c r="N81" s="4"/>
      <c r="O81" s="5"/>
      <c r="P81" s="5"/>
      <c r="Q81" s="4"/>
      <c r="R81" s="4"/>
      <c r="S81" s="4"/>
    </row>
    <row r="82" spans="1:19">
      <c r="A82" s="4"/>
      <c r="B82" s="4"/>
      <c r="C82" s="4"/>
      <c r="D82" s="4"/>
      <c r="E82" s="4"/>
      <c r="F82" s="4"/>
      <c r="G82" s="5"/>
      <c r="H82" s="4"/>
      <c r="I82" s="4"/>
      <c r="J82" s="4"/>
      <c r="K82" s="4"/>
      <c r="L82" s="6"/>
      <c r="M82" s="4"/>
      <c r="N82" s="4"/>
      <c r="O82" s="5"/>
      <c r="P82" s="5"/>
      <c r="Q82" s="4"/>
      <c r="R82" s="4"/>
      <c r="S82" s="4"/>
    </row>
    <row r="83" spans="1:19">
      <c r="A83" s="4"/>
      <c r="B83" s="4"/>
      <c r="C83" s="4"/>
      <c r="D83" s="4"/>
      <c r="E83" s="4"/>
      <c r="F83" s="4"/>
      <c r="G83" s="5"/>
      <c r="H83" s="4"/>
      <c r="I83" s="4"/>
      <c r="J83" s="4"/>
      <c r="K83" s="4"/>
      <c r="L83" s="6"/>
      <c r="M83" s="4"/>
      <c r="N83" s="4"/>
      <c r="O83" s="5"/>
      <c r="P83" s="5"/>
      <c r="Q83" s="4"/>
      <c r="R83" s="4"/>
      <c r="S83" s="4"/>
    </row>
    <row r="84" spans="1:19">
      <c r="A84" s="4"/>
      <c r="B84" s="4"/>
      <c r="C84" s="4"/>
      <c r="D84" s="4"/>
      <c r="E84" s="4"/>
      <c r="F84" s="4"/>
      <c r="G84" s="5"/>
      <c r="H84" s="4"/>
      <c r="I84" s="4"/>
      <c r="J84" s="4"/>
      <c r="K84" s="4"/>
      <c r="L84" s="6"/>
      <c r="M84" s="4"/>
      <c r="N84" s="4"/>
      <c r="O84" s="5"/>
      <c r="P84" s="5"/>
      <c r="Q84" s="4"/>
      <c r="R84" s="4"/>
      <c r="S84" s="4"/>
    </row>
    <row r="85" spans="1:19">
      <c r="A85" s="4"/>
      <c r="B85" s="4"/>
      <c r="C85" s="4"/>
      <c r="D85" s="4"/>
      <c r="E85" s="4"/>
      <c r="F85" s="4"/>
      <c r="G85" s="5"/>
      <c r="H85" s="4"/>
      <c r="I85" s="4"/>
      <c r="J85" s="4"/>
      <c r="K85" s="4"/>
      <c r="L85" s="6"/>
      <c r="M85" s="4"/>
      <c r="N85" s="4"/>
      <c r="O85" s="5"/>
      <c r="P85" s="5"/>
      <c r="Q85" s="4"/>
      <c r="R85" s="4"/>
      <c r="S85" s="4"/>
    </row>
    <row r="86" spans="1:19">
      <c r="A86" s="4"/>
      <c r="B86" s="4"/>
      <c r="C86" s="4"/>
      <c r="D86" s="4"/>
      <c r="E86" s="4"/>
      <c r="F86" s="4"/>
      <c r="G86" s="5"/>
      <c r="H86" s="4"/>
      <c r="I86" s="4"/>
      <c r="J86" s="4"/>
      <c r="K86" s="4"/>
      <c r="L86" s="6"/>
      <c r="M86" s="4"/>
      <c r="N86" s="4"/>
      <c r="O86" s="5"/>
      <c r="P86" s="5"/>
      <c r="Q86" s="4"/>
      <c r="R86" s="4"/>
      <c r="S86" s="4"/>
    </row>
    <row r="87" spans="1:19">
      <c r="A87" s="4"/>
      <c r="B87" s="4"/>
      <c r="C87" s="4"/>
      <c r="D87" s="4"/>
      <c r="E87" s="4"/>
      <c r="F87" s="4"/>
      <c r="G87" s="5"/>
      <c r="H87" s="4"/>
      <c r="I87" s="4"/>
      <c r="J87" s="4"/>
      <c r="K87" s="4"/>
      <c r="L87" s="6"/>
      <c r="M87" s="4"/>
      <c r="N87" s="4"/>
      <c r="O87" s="5"/>
      <c r="P87" s="5"/>
      <c r="Q87" s="4"/>
      <c r="R87" s="4"/>
      <c r="S87" s="4"/>
    </row>
    <row r="88" spans="1:19">
      <c r="A88" s="4"/>
      <c r="B88" s="4"/>
      <c r="C88" s="4"/>
      <c r="D88" s="4"/>
      <c r="E88" s="4"/>
      <c r="F88" s="4"/>
      <c r="G88" s="5"/>
      <c r="H88" s="4"/>
      <c r="I88" s="4"/>
      <c r="J88" s="4"/>
      <c r="K88" s="4"/>
      <c r="L88" s="6"/>
      <c r="M88" s="4"/>
      <c r="N88" s="4"/>
      <c r="O88" s="5"/>
      <c r="P88" s="5"/>
      <c r="Q88" s="4"/>
      <c r="R88" s="4"/>
      <c r="S88" s="4"/>
    </row>
    <row r="89" spans="1:19">
      <c r="A89" s="4"/>
      <c r="B89" s="4"/>
      <c r="C89" s="4"/>
      <c r="D89" s="4"/>
      <c r="E89" s="4"/>
      <c r="F89" s="4"/>
      <c r="G89" s="5"/>
      <c r="H89" s="4"/>
      <c r="I89" s="4"/>
      <c r="J89" s="4"/>
      <c r="K89" s="4"/>
      <c r="L89" s="6"/>
      <c r="M89" s="4"/>
      <c r="N89" s="4"/>
      <c r="O89" s="5"/>
      <c r="P89" s="5"/>
      <c r="Q89" s="4"/>
      <c r="R89" s="4"/>
      <c r="S89" s="4"/>
    </row>
    <row r="90" spans="1:19">
      <c r="A90" s="4"/>
      <c r="B90" s="4"/>
      <c r="C90" s="4"/>
      <c r="D90" s="4"/>
      <c r="E90" s="4"/>
      <c r="F90" s="4"/>
      <c r="G90" s="5"/>
      <c r="H90" s="4"/>
      <c r="I90" s="4"/>
      <c r="J90" s="4"/>
      <c r="K90" s="4"/>
      <c r="L90" s="6"/>
      <c r="M90" s="4"/>
      <c r="N90" s="4"/>
      <c r="O90" s="5"/>
      <c r="P90" s="5"/>
      <c r="Q90" s="4"/>
      <c r="R90" s="4"/>
      <c r="S90" s="4"/>
    </row>
    <row r="91" spans="1:19">
      <c r="A91" s="4"/>
      <c r="B91" s="4"/>
      <c r="C91" s="4"/>
      <c r="D91" s="4"/>
      <c r="E91" s="4"/>
      <c r="F91" s="4"/>
      <c r="G91" s="5"/>
      <c r="H91" s="4"/>
      <c r="I91" s="4"/>
      <c r="J91" s="4"/>
      <c r="K91" s="4"/>
      <c r="L91" s="6"/>
      <c r="M91" s="4"/>
      <c r="N91" s="4"/>
      <c r="O91" s="5"/>
      <c r="P91" s="5"/>
      <c r="Q91" s="4"/>
      <c r="R91" s="4"/>
      <c r="S91" s="4"/>
    </row>
    <row r="92" spans="1:19">
      <c r="A92" s="4"/>
      <c r="B92" s="4"/>
      <c r="C92" s="4"/>
      <c r="D92" s="4"/>
      <c r="E92" s="4"/>
      <c r="F92" s="4"/>
      <c r="G92" s="5"/>
      <c r="H92" s="4"/>
      <c r="I92" s="4"/>
      <c r="J92" s="4"/>
      <c r="K92" s="4"/>
      <c r="L92" s="6"/>
      <c r="M92" s="4"/>
      <c r="N92" s="4"/>
      <c r="O92" s="5"/>
      <c r="P92" s="5"/>
      <c r="Q92" s="4"/>
      <c r="R92" s="4"/>
      <c r="S92" s="4"/>
    </row>
    <row r="93" spans="1:19">
      <c r="A93" s="4"/>
      <c r="B93" s="4"/>
      <c r="C93" s="4"/>
      <c r="D93" s="4"/>
      <c r="E93" s="4"/>
      <c r="F93" s="4"/>
      <c r="G93" s="5"/>
      <c r="H93" s="4"/>
      <c r="I93" s="4"/>
      <c r="J93" s="4"/>
      <c r="K93" s="4"/>
      <c r="L93" s="6"/>
      <c r="M93" s="4"/>
      <c r="N93" s="4"/>
      <c r="O93" s="5"/>
      <c r="P93" s="5"/>
      <c r="Q93" s="4"/>
      <c r="R93" s="4"/>
      <c r="S93" s="4"/>
    </row>
    <row r="94" spans="1:19">
      <c r="A94" s="4"/>
      <c r="B94" s="4"/>
      <c r="C94" s="4"/>
      <c r="D94" s="4"/>
      <c r="E94" s="4"/>
      <c r="F94" s="4"/>
      <c r="G94" s="5"/>
      <c r="H94" s="4"/>
      <c r="I94" s="4"/>
      <c r="J94" s="4"/>
      <c r="K94" s="4"/>
      <c r="L94" s="6"/>
      <c r="M94" s="4"/>
      <c r="N94" s="4"/>
      <c r="O94" s="5"/>
      <c r="P94" s="5"/>
      <c r="Q94" s="4"/>
      <c r="R94" s="4"/>
      <c r="S94" s="4"/>
    </row>
    <row r="95" spans="1:19">
      <c r="A95" s="4"/>
      <c r="B95" s="4"/>
      <c r="C95" s="4"/>
      <c r="D95" s="4"/>
      <c r="E95" s="4"/>
      <c r="F95" s="4"/>
      <c r="G95" s="5"/>
      <c r="H95" s="4"/>
      <c r="I95" s="4"/>
      <c r="J95" s="4"/>
      <c r="K95" s="4"/>
      <c r="L95" s="6"/>
      <c r="M95" s="4"/>
      <c r="N95" s="4"/>
      <c r="O95" s="5"/>
      <c r="P95" s="5"/>
      <c r="Q95" s="4"/>
      <c r="R95" s="4"/>
      <c r="S95" s="4"/>
    </row>
    <row r="96" spans="1:19">
      <c r="A96" s="4"/>
      <c r="B96" s="4"/>
      <c r="C96" s="4"/>
      <c r="D96" s="4"/>
      <c r="E96" s="4"/>
      <c r="F96" s="4"/>
      <c r="G96" s="5"/>
      <c r="H96" s="4"/>
      <c r="I96" s="4"/>
      <c r="J96" s="4"/>
      <c r="K96" s="4"/>
      <c r="L96" s="6"/>
      <c r="M96" s="4"/>
      <c r="N96" s="4"/>
      <c r="O96" s="5"/>
      <c r="P96" s="5"/>
      <c r="Q96" s="4"/>
      <c r="R96" s="4"/>
      <c r="S96" s="4"/>
    </row>
    <row r="97" spans="1:19">
      <c r="A97" s="4"/>
      <c r="B97" s="4"/>
      <c r="C97" s="4"/>
      <c r="D97" s="4"/>
      <c r="E97" s="4"/>
      <c r="F97" s="4"/>
      <c r="G97" s="5"/>
      <c r="H97" s="4"/>
      <c r="I97" s="4"/>
      <c r="J97" s="4"/>
      <c r="K97" s="4"/>
      <c r="L97" s="6"/>
      <c r="M97" s="4"/>
      <c r="N97" s="4"/>
      <c r="O97" s="5"/>
      <c r="P97" s="5"/>
      <c r="Q97" s="4"/>
      <c r="R97" s="4"/>
      <c r="S97" s="4"/>
    </row>
    <row r="98" spans="1:19">
      <c r="A98" s="4"/>
      <c r="B98" s="4"/>
      <c r="C98" s="4"/>
      <c r="D98" s="4"/>
      <c r="E98" s="4"/>
      <c r="F98" s="4"/>
      <c r="G98" s="5"/>
      <c r="H98" s="4"/>
      <c r="I98" s="4"/>
      <c r="J98" s="4"/>
      <c r="K98" s="4"/>
      <c r="L98" s="6"/>
      <c r="M98" s="4"/>
      <c r="N98" s="4"/>
      <c r="O98" s="5"/>
      <c r="P98" s="5"/>
      <c r="Q98" s="4"/>
      <c r="R98" s="4"/>
      <c r="S98" s="4"/>
    </row>
    <row r="99" spans="1:19">
      <c r="A99" s="4"/>
      <c r="B99" s="4"/>
      <c r="C99" s="4"/>
      <c r="D99" s="4"/>
      <c r="E99" s="4"/>
      <c r="F99" s="4"/>
      <c r="G99" s="5"/>
      <c r="H99" s="4"/>
      <c r="I99" s="4"/>
      <c r="J99" s="4"/>
      <c r="K99" s="4"/>
      <c r="L99" s="6"/>
      <c r="M99" s="4"/>
      <c r="N99" s="4"/>
      <c r="O99" s="5"/>
      <c r="P99" s="5"/>
      <c r="Q99" s="4"/>
      <c r="R99" s="4"/>
      <c r="S99" s="4"/>
    </row>
    <row r="100" spans="1:19">
      <c r="A100" s="4"/>
      <c r="B100" s="4"/>
      <c r="C100" s="4"/>
      <c r="D100" s="4"/>
      <c r="E100" s="4"/>
      <c r="F100" s="4"/>
      <c r="G100" s="5"/>
      <c r="H100" s="4"/>
      <c r="I100" s="4"/>
      <c r="J100" s="4"/>
      <c r="K100" s="4"/>
      <c r="L100" s="6"/>
      <c r="M100" s="4"/>
      <c r="N100" s="4"/>
      <c r="O100" s="5"/>
      <c r="P100" s="5"/>
      <c r="Q100" s="4"/>
      <c r="R100" s="4"/>
      <c r="S100" s="4"/>
    </row>
    <row r="101" spans="1:19">
      <c r="A101" s="4"/>
      <c r="B101" s="4"/>
      <c r="C101" s="4"/>
      <c r="D101" s="4"/>
      <c r="E101" s="4"/>
      <c r="F101" s="4"/>
      <c r="G101" s="5"/>
      <c r="H101" s="4"/>
      <c r="I101" s="4"/>
      <c r="J101" s="4"/>
      <c r="K101" s="4"/>
      <c r="L101" s="6"/>
      <c r="M101" s="4"/>
      <c r="N101" s="4"/>
      <c r="O101" s="5"/>
      <c r="P101" s="5"/>
      <c r="Q101" s="4"/>
      <c r="R101" s="4"/>
      <c r="S101" s="4"/>
    </row>
    <row r="102" spans="1:19">
      <c r="A102" s="4"/>
      <c r="B102" s="4"/>
      <c r="C102" s="4"/>
      <c r="D102" s="4"/>
      <c r="E102" s="4"/>
      <c r="F102" s="4"/>
      <c r="G102" s="5"/>
      <c r="H102" s="4"/>
      <c r="I102" s="4"/>
      <c r="J102" s="4"/>
      <c r="K102" s="4"/>
      <c r="L102" s="6"/>
      <c r="M102" s="4"/>
      <c r="N102" s="4"/>
      <c r="O102" s="5"/>
      <c r="P102" s="5"/>
      <c r="Q102" s="4"/>
      <c r="R102" s="4"/>
      <c r="S102" s="4"/>
    </row>
    <row r="103" spans="1:19">
      <c r="A103" s="4"/>
      <c r="B103" s="4"/>
      <c r="C103" s="4"/>
      <c r="D103" s="4"/>
      <c r="E103" s="4"/>
      <c r="F103" s="4"/>
      <c r="G103" s="5"/>
      <c r="H103" s="4"/>
      <c r="I103" s="4"/>
      <c r="J103" s="4"/>
      <c r="K103" s="4"/>
      <c r="L103" s="6"/>
      <c r="M103" s="4"/>
      <c r="N103" s="4"/>
      <c r="O103" s="5"/>
      <c r="P103" s="5"/>
      <c r="Q103" s="4"/>
      <c r="R103" s="4"/>
      <c r="S103" s="4"/>
    </row>
    <row r="104" spans="1:19">
      <c r="A104" s="4"/>
      <c r="B104" s="4"/>
      <c r="C104" s="4"/>
      <c r="D104" s="4"/>
      <c r="E104" s="4"/>
      <c r="F104" s="4"/>
      <c r="G104" s="5"/>
      <c r="H104" s="4"/>
      <c r="I104" s="4"/>
      <c r="J104" s="4"/>
      <c r="K104" s="4"/>
      <c r="L104" s="6"/>
      <c r="M104" s="4"/>
      <c r="N104" s="4"/>
      <c r="O104" s="5"/>
      <c r="P104" s="5"/>
      <c r="Q104" s="4"/>
      <c r="R104" s="4"/>
      <c r="S104" s="4"/>
    </row>
    <row r="105" spans="1:19">
      <c r="A105" s="4"/>
      <c r="B105" s="4"/>
      <c r="C105" s="4"/>
      <c r="D105" s="4"/>
      <c r="E105" s="4"/>
      <c r="F105" s="4"/>
      <c r="G105" s="5"/>
      <c r="H105" s="4"/>
      <c r="I105" s="4"/>
      <c r="J105" s="4"/>
      <c r="K105" s="4"/>
      <c r="L105" s="6"/>
      <c r="M105" s="4"/>
      <c r="N105" s="4"/>
      <c r="O105" s="5"/>
      <c r="P105" s="5"/>
      <c r="Q105" s="4"/>
      <c r="R105" s="4"/>
      <c r="S105" s="4"/>
    </row>
    <row r="106" spans="1:19">
      <c r="A106" s="4"/>
      <c r="B106" s="4"/>
      <c r="C106" s="4"/>
      <c r="D106" s="4"/>
      <c r="E106" s="4"/>
      <c r="F106" s="4"/>
      <c r="G106" s="5"/>
      <c r="H106" s="4"/>
      <c r="I106" s="4"/>
      <c r="J106" s="4"/>
      <c r="K106" s="4"/>
      <c r="L106" s="6"/>
      <c r="M106" s="4"/>
      <c r="N106" s="4"/>
      <c r="O106" s="5"/>
      <c r="P106" s="5"/>
      <c r="Q106" s="4"/>
      <c r="R106" s="4"/>
      <c r="S106" s="4"/>
    </row>
    <row r="107" spans="1:19">
      <c r="A107" s="4"/>
      <c r="B107" s="4"/>
      <c r="C107" s="4"/>
      <c r="D107" s="4"/>
      <c r="E107" s="4"/>
      <c r="F107" s="4"/>
      <c r="G107" s="5"/>
      <c r="H107" s="4"/>
      <c r="I107" s="4"/>
      <c r="J107" s="4"/>
      <c r="K107" s="4"/>
      <c r="L107" s="6"/>
      <c r="M107" s="4"/>
      <c r="N107" s="4"/>
      <c r="O107" s="5"/>
      <c r="P107" s="5"/>
      <c r="Q107" s="4"/>
      <c r="R107" s="4"/>
      <c r="S107" s="4"/>
    </row>
    <row r="108" spans="1:19">
      <c r="A108" s="4"/>
      <c r="B108" s="4"/>
      <c r="C108" s="4"/>
      <c r="D108" s="4"/>
      <c r="E108" s="4"/>
      <c r="F108" s="4"/>
      <c r="G108" s="5"/>
      <c r="H108" s="4"/>
      <c r="I108" s="4"/>
      <c r="J108" s="4"/>
      <c r="K108" s="4"/>
      <c r="L108" s="6"/>
      <c r="M108" s="4"/>
      <c r="N108" s="4"/>
      <c r="O108" s="5"/>
      <c r="P108" s="5"/>
      <c r="Q108" s="4"/>
      <c r="R108" s="4"/>
      <c r="S108" s="4"/>
    </row>
    <row r="109" spans="1:19">
      <c r="A109" s="4"/>
      <c r="B109" s="4"/>
      <c r="C109" s="4"/>
      <c r="D109" s="4"/>
      <c r="E109" s="4"/>
      <c r="F109" s="4"/>
      <c r="G109" s="5"/>
      <c r="H109" s="4"/>
      <c r="I109" s="4"/>
      <c r="J109" s="4"/>
      <c r="K109" s="4"/>
      <c r="L109" s="6"/>
      <c r="M109" s="4"/>
      <c r="N109" s="4"/>
      <c r="O109" s="5"/>
      <c r="P109" s="5"/>
      <c r="Q109" s="4"/>
      <c r="R109" s="4"/>
      <c r="S109" s="4"/>
    </row>
    <row r="110" spans="1:19">
      <c r="A110" s="4"/>
      <c r="B110" s="4"/>
      <c r="C110" s="4"/>
      <c r="D110" s="4"/>
      <c r="E110" s="4"/>
      <c r="F110" s="4"/>
      <c r="G110" s="5"/>
      <c r="H110" s="4"/>
      <c r="I110" s="4"/>
      <c r="J110" s="4"/>
      <c r="K110" s="4"/>
      <c r="L110" s="6"/>
      <c r="M110" s="4"/>
      <c r="N110" s="4"/>
      <c r="O110" s="5"/>
      <c r="P110" s="5"/>
      <c r="Q110" s="4"/>
      <c r="R110" s="4"/>
      <c r="S110" s="4"/>
    </row>
    <row r="111" spans="1:19">
      <c r="A111" s="4"/>
      <c r="B111" s="4"/>
      <c r="C111" s="4"/>
      <c r="D111" s="4"/>
      <c r="E111" s="4"/>
      <c r="F111" s="4"/>
      <c r="G111" s="5"/>
      <c r="H111" s="4"/>
      <c r="I111" s="4"/>
      <c r="J111" s="4"/>
      <c r="K111" s="4"/>
      <c r="L111" s="6"/>
      <c r="M111" s="4"/>
      <c r="N111" s="4"/>
      <c r="O111" s="5"/>
      <c r="P111" s="5"/>
      <c r="Q111" s="4"/>
      <c r="R111" s="4"/>
      <c r="S111" s="4"/>
    </row>
    <row r="112" spans="1:19">
      <c r="A112" s="4"/>
      <c r="B112" s="4"/>
      <c r="C112" s="4"/>
      <c r="D112" s="4"/>
      <c r="E112" s="4"/>
      <c r="F112" s="4"/>
      <c r="G112" s="5"/>
      <c r="H112" s="4"/>
      <c r="I112" s="4"/>
      <c r="J112" s="4"/>
      <c r="K112" s="4"/>
      <c r="L112" s="6"/>
      <c r="M112" s="4"/>
      <c r="N112" s="4"/>
      <c r="O112" s="5"/>
      <c r="P112" s="5"/>
      <c r="Q112" s="4"/>
      <c r="R112" s="4"/>
      <c r="S112" s="4"/>
    </row>
    <row r="113" spans="1:19">
      <c r="A113" s="4"/>
      <c r="B113" s="4"/>
      <c r="C113" s="4"/>
      <c r="D113" s="4"/>
      <c r="E113" s="4"/>
      <c r="F113" s="4"/>
      <c r="G113" s="5"/>
      <c r="H113" s="4"/>
      <c r="I113" s="4"/>
      <c r="J113" s="4"/>
      <c r="K113" s="4"/>
      <c r="L113" s="6"/>
      <c r="M113" s="4"/>
      <c r="N113" s="4"/>
      <c r="O113" s="5"/>
      <c r="P113" s="5"/>
      <c r="Q113" s="4"/>
      <c r="R113" s="4"/>
      <c r="S113" s="4"/>
    </row>
    <row r="114" spans="1:19">
      <c r="A114" s="4"/>
      <c r="B114" s="4"/>
      <c r="C114" s="4"/>
      <c r="D114" s="4"/>
      <c r="E114" s="4"/>
      <c r="F114" s="4"/>
      <c r="G114" s="5"/>
      <c r="H114" s="4"/>
      <c r="I114" s="4"/>
      <c r="J114" s="4"/>
      <c r="K114" s="4"/>
      <c r="L114" s="6"/>
      <c r="M114" s="4"/>
      <c r="N114" s="4"/>
      <c r="O114" s="5"/>
      <c r="P114" s="5"/>
      <c r="Q114" s="4"/>
      <c r="R114" s="4"/>
      <c r="S114" s="4"/>
    </row>
    <row r="115" spans="1:19">
      <c r="A115" s="4"/>
      <c r="B115" s="4"/>
      <c r="C115" s="4"/>
      <c r="D115" s="4"/>
      <c r="E115" s="4"/>
      <c r="F115" s="4"/>
      <c r="G115" s="5"/>
      <c r="H115" s="4"/>
      <c r="I115" s="4"/>
      <c r="J115" s="4"/>
      <c r="K115" s="4"/>
      <c r="L115" s="6"/>
      <c r="M115" s="4"/>
      <c r="N115" s="4"/>
      <c r="O115" s="5"/>
      <c r="P115" s="5"/>
      <c r="Q115" s="4"/>
      <c r="R115" s="4"/>
      <c r="S115" s="4"/>
    </row>
    <row r="116" spans="1:19">
      <c r="A116" s="4"/>
      <c r="B116" s="4"/>
      <c r="C116" s="4"/>
      <c r="D116" s="4"/>
      <c r="E116" s="4"/>
      <c r="F116" s="4"/>
      <c r="G116" s="5"/>
      <c r="H116" s="4"/>
      <c r="I116" s="4"/>
      <c r="J116" s="4"/>
      <c r="K116" s="4"/>
      <c r="L116" s="6"/>
      <c r="M116" s="4"/>
      <c r="N116" s="4"/>
      <c r="O116" s="5"/>
      <c r="P116" s="5"/>
      <c r="Q116" s="4"/>
      <c r="R116" s="4"/>
      <c r="S116" s="4"/>
    </row>
    <row r="117" spans="1:19">
      <c r="A117" s="4"/>
      <c r="B117" s="4"/>
      <c r="C117" s="4"/>
      <c r="D117" s="4"/>
      <c r="E117" s="4"/>
      <c r="F117" s="4"/>
      <c r="G117" s="5"/>
      <c r="H117" s="4"/>
      <c r="I117" s="4"/>
      <c r="J117" s="4"/>
      <c r="K117" s="4"/>
      <c r="L117" s="6"/>
      <c r="M117" s="4"/>
      <c r="N117" s="4"/>
      <c r="O117" s="5"/>
      <c r="P117" s="5"/>
      <c r="Q117" s="4"/>
      <c r="R117" s="4"/>
      <c r="S117" s="4"/>
    </row>
    <row r="118" spans="1:19">
      <c r="A118" s="4"/>
      <c r="B118" s="4"/>
      <c r="C118" s="4"/>
      <c r="D118" s="4"/>
      <c r="E118" s="4"/>
      <c r="F118" s="4"/>
      <c r="G118" s="5"/>
      <c r="H118" s="4"/>
      <c r="I118" s="4"/>
      <c r="J118" s="4"/>
      <c r="K118" s="4"/>
      <c r="L118" s="6"/>
      <c r="M118" s="4"/>
      <c r="N118" s="4"/>
      <c r="O118" s="5"/>
      <c r="P118" s="5"/>
      <c r="Q118" s="4"/>
      <c r="R118" s="4"/>
      <c r="S118" s="4"/>
    </row>
    <row r="119" spans="1:19">
      <c r="A119" s="4"/>
      <c r="B119" s="4"/>
      <c r="C119" s="4"/>
      <c r="D119" s="4"/>
      <c r="E119" s="4"/>
      <c r="F119" s="4"/>
      <c r="G119" s="5"/>
      <c r="H119" s="4"/>
      <c r="I119" s="4"/>
      <c r="J119" s="4"/>
      <c r="K119" s="4"/>
      <c r="L119" s="6"/>
      <c r="M119" s="4"/>
      <c r="N119" s="4"/>
      <c r="O119" s="5"/>
      <c r="P119" s="5"/>
      <c r="Q119" s="4"/>
      <c r="R119" s="4"/>
      <c r="S119" s="4"/>
    </row>
    <row r="120" spans="1:19">
      <c r="A120" s="4"/>
      <c r="B120" s="4"/>
      <c r="C120" s="4"/>
      <c r="D120" s="4"/>
      <c r="E120" s="4"/>
      <c r="F120" s="4"/>
      <c r="G120" s="5"/>
      <c r="H120" s="4"/>
      <c r="I120" s="4"/>
      <c r="J120" s="4"/>
      <c r="K120" s="4"/>
      <c r="L120" s="6"/>
      <c r="M120" s="4"/>
      <c r="N120" s="4"/>
      <c r="O120" s="5"/>
      <c r="P120" s="5"/>
      <c r="Q120" s="4"/>
      <c r="R120" s="4"/>
      <c r="S120" s="4"/>
    </row>
    <row r="121" spans="1:19">
      <c r="A121" s="4"/>
      <c r="B121" s="4"/>
      <c r="C121" s="4"/>
      <c r="D121" s="4"/>
      <c r="E121" s="4"/>
      <c r="F121" s="4"/>
      <c r="G121" s="5"/>
      <c r="H121" s="4"/>
      <c r="I121" s="4"/>
      <c r="J121" s="4"/>
      <c r="K121" s="4"/>
      <c r="L121" s="6"/>
      <c r="M121" s="4"/>
      <c r="N121" s="4"/>
      <c r="O121" s="5"/>
      <c r="P121" s="5"/>
      <c r="Q121" s="4"/>
      <c r="R121" s="4"/>
      <c r="S121" s="4"/>
    </row>
    <row r="122" spans="1:19">
      <c r="A122" s="4"/>
      <c r="B122" s="4"/>
      <c r="C122" s="4"/>
      <c r="D122" s="4"/>
      <c r="E122" s="4"/>
      <c r="F122" s="4"/>
      <c r="G122" s="5"/>
      <c r="H122" s="4"/>
      <c r="I122" s="4"/>
      <c r="J122" s="4"/>
      <c r="K122" s="4"/>
      <c r="L122" s="6"/>
      <c r="M122" s="4"/>
      <c r="N122" s="4"/>
      <c r="O122" s="5"/>
      <c r="P122" s="5"/>
      <c r="Q122" s="4"/>
      <c r="R122" s="4"/>
      <c r="S122" s="4"/>
    </row>
    <row r="123" spans="1:19">
      <c r="A123" s="4"/>
      <c r="B123" s="4"/>
      <c r="C123" s="4"/>
      <c r="D123" s="4"/>
      <c r="E123" s="4"/>
      <c r="F123" s="4"/>
      <c r="G123" s="5"/>
      <c r="H123" s="4"/>
      <c r="I123" s="4"/>
      <c r="J123" s="4"/>
      <c r="K123" s="4"/>
      <c r="L123" s="6"/>
      <c r="M123" s="4"/>
      <c r="N123" s="4"/>
      <c r="O123" s="5"/>
      <c r="P123" s="5"/>
      <c r="Q123" s="4"/>
      <c r="R123" s="4"/>
      <c r="S123" s="4"/>
    </row>
    <row r="124" spans="1:19">
      <c r="A124" s="4"/>
      <c r="B124" s="4"/>
      <c r="C124" s="4"/>
      <c r="D124" s="4"/>
      <c r="E124" s="4"/>
      <c r="F124" s="4"/>
      <c r="G124" s="5"/>
      <c r="H124" s="4"/>
      <c r="I124" s="4"/>
      <c r="J124" s="4"/>
      <c r="K124" s="4"/>
      <c r="L124" s="6"/>
      <c r="M124" s="4"/>
      <c r="N124" s="4"/>
      <c r="O124" s="5"/>
      <c r="P124" s="5"/>
      <c r="Q124" s="4"/>
      <c r="R124" s="4"/>
      <c r="S124" s="4"/>
    </row>
    <row r="125" spans="1:19">
      <c r="A125" s="4"/>
      <c r="B125" s="4"/>
      <c r="C125" s="4"/>
      <c r="D125" s="4"/>
      <c r="E125" s="4"/>
      <c r="F125" s="4"/>
      <c r="G125" s="5"/>
      <c r="H125" s="4"/>
      <c r="I125" s="4"/>
      <c r="J125" s="4"/>
      <c r="K125" s="4"/>
      <c r="L125" s="6"/>
      <c r="M125" s="4"/>
      <c r="N125" s="4"/>
      <c r="O125" s="5"/>
      <c r="P125" s="5"/>
      <c r="Q125" s="4"/>
      <c r="R125" s="4"/>
      <c r="S125" s="4"/>
    </row>
    <row r="126" spans="1:19">
      <c r="A126" s="4"/>
      <c r="B126" s="4"/>
      <c r="C126" s="4"/>
      <c r="D126" s="4"/>
      <c r="E126" s="4"/>
      <c r="F126" s="4"/>
      <c r="G126" s="5"/>
      <c r="H126" s="4"/>
      <c r="I126" s="4"/>
      <c r="J126" s="4"/>
      <c r="K126" s="4"/>
      <c r="L126" s="6"/>
      <c r="M126" s="4"/>
      <c r="N126" s="4"/>
      <c r="O126" s="5"/>
      <c r="P126" s="5"/>
      <c r="Q126" s="4"/>
      <c r="R126" s="4"/>
      <c r="S126" s="4"/>
    </row>
    <row r="127" spans="1:19">
      <c r="A127" s="4"/>
      <c r="B127" s="4"/>
      <c r="C127" s="4"/>
      <c r="D127" s="4"/>
      <c r="E127" s="4"/>
      <c r="F127" s="4"/>
      <c r="G127" s="5"/>
      <c r="H127" s="4"/>
      <c r="I127" s="4"/>
      <c r="J127" s="4"/>
      <c r="K127" s="4"/>
      <c r="L127" s="6"/>
      <c r="M127" s="4"/>
      <c r="N127" s="4"/>
      <c r="O127" s="5"/>
      <c r="P127" s="5"/>
      <c r="Q127" s="4"/>
      <c r="R127" s="4"/>
      <c r="S127" s="4"/>
    </row>
    <row r="128" spans="1:19">
      <c r="A128" s="4"/>
      <c r="B128" s="4"/>
      <c r="C128" s="4"/>
      <c r="D128" s="4"/>
      <c r="E128" s="4"/>
      <c r="F128" s="4"/>
      <c r="G128" s="5"/>
      <c r="H128" s="4"/>
      <c r="I128" s="4"/>
      <c r="J128" s="4"/>
      <c r="K128" s="4"/>
      <c r="L128" s="6"/>
      <c r="M128" s="4"/>
      <c r="N128" s="4"/>
      <c r="O128" s="5"/>
      <c r="P128" s="5"/>
      <c r="Q128" s="4"/>
      <c r="R128" s="4"/>
      <c r="S128" s="4"/>
    </row>
    <row r="129" spans="1:19">
      <c r="A129" s="4"/>
      <c r="B129" s="4"/>
      <c r="C129" s="4"/>
      <c r="D129" s="4"/>
      <c r="E129" s="4"/>
      <c r="F129" s="4"/>
      <c r="G129" s="5"/>
      <c r="H129" s="4"/>
      <c r="I129" s="4"/>
      <c r="J129" s="4"/>
      <c r="K129" s="4"/>
      <c r="L129" s="6"/>
      <c r="M129" s="4"/>
      <c r="N129" s="4"/>
      <c r="O129" s="5"/>
      <c r="P129" s="5"/>
      <c r="Q129" s="4"/>
      <c r="R129" s="4"/>
      <c r="S129" s="4"/>
    </row>
    <row r="130" spans="1:19">
      <c r="A130" s="4"/>
      <c r="B130" s="4"/>
      <c r="C130" s="4"/>
      <c r="D130" s="4"/>
      <c r="E130" s="4"/>
      <c r="F130" s="4"/>
      <c r="G130" s="5"/>
      <c r="H130" s="4"/>
      <c r="I130" s="4"/>
      <c r="J130" s="4"/>
      <c r="K130" s="4"/>
      <c r="L130" s="6"/>
      <c r="M130" s="4"/>
      <c r="N130" s="4"/>
      <c r="O130" s="5"/>
      <c r="P130" s="5"/>
      <c r="Q130" s="4"/>
      <c r="R130" s="4"/>
      <c r="S130" s="4"/>
    </row>
    <row r="131" spans="1:19">
      <c r="A131" s="4"/>
      <c r="B131" s="4"/>
      <c r="C131" s="4"/>
      <c r="D131" s="4"/>
      <c r="E131" s="4"/>
      <c r="F131" s="4"/>
      <c r="G131" s="5"/>
      <c r="H131" s="4"/>
      <c r="I131" s="4"/>
      <c r="J131" s="4"/>
      <c r="K131" s="4"/>
      <c r="L131" s="6"/>
      <c r="M131" s="4"/>
      <c r="N131" s="4"/>
      <c r="O131" s="5"/>
      <c r="P131" s="5"/>
      <c r="Q131" s="4"/>
      <c r="R131" s="4"/>
      <c r="S131" s="4"/>
    </row>
    <row r="132" spans="1:19">
      <c r="A132" s="4"/>
      <c r="B132" s="4"/>
      <c r="C132" s="4"/>
      <c r="D132" s="4"/>
      <c r="E132" s="4"/>
      <c r="F132" s="4"/>
      <c r="G132" s="5"/>
      <c r="H132" s="4"/>
      <c r="I132" s="4"/>
      <c r="J132" s="4"/>
      <c r="K132" s="4"/>
      <c r="L132" s="6"/>
      <c r="M132" s="4"/>
      <c r="N132" s="4"/>
      <c r="O132" s="5"/>
      <c r="P132" s="5"/>
      <c r="Q132" s="4"/>
      <c r="R132" s="4"/>
      <c r="S132" s="4"/>
    </row>
    <row r="133" spans="1:19">
      <c r="A133" s="4"/>
      <c r="B133" s="4"/>
      <c r="C133" s="4"/>
      <c r="D133" s="4"/>
      <c r="E133" s="4"/>
      <c r="F133" s="4"/>
      <c r="G133" s="5"/>
      <c r="H133" s="4"/>
      <c r="I133" s="4"/>
      <c r="J133" s="4"/>
      <c r="K133" s="4"/>
      <c r="L133" s="6"/>
      <c r="M133" s="4"/>
      <c r="N133" s="4"/>
      <c r="O133" s="5"/>
      <c r="P133" s="5"/>
      <c r="Q133" s="4"/>
      <c r="R133" s="4"/>
      <c r="S133" s="4"/>
    </row>
    <row r="134" spans="1:19">
      <c r="A134" s="4"/>
      <c r="B134" s="4"/>
      <c r="C134" s="4"/>
      <c r="D134" s="4"/>
      <c r="E134" s="4"/>
      <c r="F134" s="4"/>
      <c r="G134" s="5"/>
      <c r="H134" s="4"/>
      <c r="I134" s="4"/>
      <c r="J134" s="4"/>
      <c r="K134" s="4"/>
      <c r="L134" s="6"/>
      <c r="M134" s="4"/>
      <c r="N134" s="4"/>
      <c r="O134" s="5"/>
      <c r="P134" s="5"/>
      <c r="Q134" s="4"/>
      <c r="R134" s="4"/>
      <c r="S134" s="4"/>
    </row>
    <row r="135" spans="1:19">
      <c r="A135" s="4"/>
      <c r="B135" s="4"/>
      <c r="C135" s="4"/>
      <c r="D135" s="4"/>
      <c r="E135" s="4"/>
      <c r="F135" s="4"/>
      <c r="G135" s="5"/>
      <c r="H135" s="4"/>
      <c r="I135" s="4"/>
      <c r="J135" s="4"/>
      <c r="K135" s="4"/>
      <c r="L135" s="6"/>
      <c r="M135" s="4"/>
      <c r="N135" s="4"/>
      <c r="O135" s="5"/>
      <c r="P135" s="5"/>
      <c r="Q135" s="4"/>
      <c r="R135" s="4"/>
      <c r="S135" s="4"/>
    </row>
    <row r="136" spans="1:19">
      <c r="A136" s="4"/>
      <c r="B136" s="4"/>
      <c r="C136" s="4"/>
      <c r="D136" s="4"/>
      <c r="E136" s="4"/>
      <c r="F136" s="4"/>
      <c r="G136" s="5"/>
      <c r="H136" s="4"/>
      <c r="I136" s="4"/>
      <c r="J136" s="4"/>
      <c r="K136" s="4"/>
      <c r="L136" s="6"/>
      <c r="M136" s="4"/>
      <c r="N136" s="4"/>
      <c r="O136" s="5"/>
      <c r="P136" s="5"/>
      <c r="Q136" s="4"/>
      <c r="R136" s="4"/>
      <c r="S136" s="4"/>
    </row>
    <row r="137" spans="1:19">
      <c r="A137" s="4"/>
      <c r="B137" s="4"/>
      <c r="C137" s="4"/>
      <c r="D137" s="4"/>
      <c r="E137" s="4"/>
      <c r="F137" s="4"/>
      <c r="G137" s="5"/>
      <c r="H137" s="4"/>
      <c r="I137" s="4"/>
      <c r="J137" s="4"/>
      <c r="K137" s="4"/>
      <c r="L137" s="6"/>
      <c r="M137" s="4"/>
      <c r="N137" s="4"/>
      <c r="O137" s="5"/>
      <c r="P137" s="5"/>
      <c r="Q137" s="4"/>
      <c r="R137" s="4"/>
      <c r="S137" s="4"/>
    </row>
    <row r="138" spans="1:19">
      <c r="A138" s="4"/>
      <c r="B138" s="4"/>
      <c r="C138" s="4"/>
      <c r="D138" s="4"/>
      <c r="E138" s="4"/>
      <c r="F138" s="4"/>
      <c r="G138" s="5"/>
      <c r="H138" s="4"/>
      <c r="I138" s="4"/>
      <c r="J138" s="4"/>
      <c r="K138" s="4"/>
      <c r="L138" s="6"/>
      <c r="M138" s="4"/>
      <c r="N138" s="4"/>
      <c r="O138" s="5"/>
      <c r="P138" s="5"/>
      <c r="Q138" s="4"/>
      <c r="R138" s="4"/>
      <c r="S138" s="4"/>
    </row>
    <row r="139" spans="1:19">
      <c r="A139" s="4"/>
      <c r="B139" s="4"/>
      <c r="C139" s="4"/>
      <c r="D139" s="4"/>
      <c r="E139" s="4"/>
      <c r="F139" s="4"/>
      <c r="G139" s="5"/>
      <c r="H139" s="4"/>
      <c r="I139" s="4"/>
      <c r="J139" s="4"/>
      <c r="K139" s="4"/>
      <c r="L139" s="6"/>
      <c r="M139" s="4"/>
      <c r="N139" s="4"/>
      <c r="O139" s="5"/>
      <c r="P139" s="5"/>
      <c r="Q139" s="4"/>
      <c r="R139" s="4"/>
      <c r="S139" s="4"/>
    </row>
    <row r="140" spans="1:19">
      <c r="A140" s="4"/>
      <c r="B140" s="4"/>
      <c r="C140" s="4"/>
      <c r="D140" s="4"/>
      <c r="E140" s="4"/>
      <c r="F140" s="4"/>
      <c r="G140" s="5"/>
      <c r="H140" s="4"/>
      <c r="I140" s="4"/>
      <c r="J140" s="4"/>
      <c r="K140" s="4"/>
      <c r="L140" s="6"/>
      <c r="M140" s="4"/>
      <c r="N140" s="4"/>
      <c r="O140" s="5"/>
      <c r="P140" s="5"/>
      <c r="Q140" s="4"/>
      <c r="R140" s="4"/>
      <c r="S140" s="4"/>
    </row>
    <row r="141" spans="1:19">
      <c r="A141" s="4"/>
      <c r="B141" s="4"/>
      <c r="C141" s="4"/>
      <c r="D141" s="4"/>
      <c r="E141" s="4"/>
      <c r="F141" s="4"/>
      <c r="G141" s="5"/>
      <c r="H141" s="4"/>
      <c r="I141" s="4"/>
      <c r="J141" s="4"/>
      <c r="K141" s="4"/>
      <c r="L141" s="6"/>
      <c r="M141" s="4"/>
      <c r="N141" s="4"/>
      <c r="O141" s="5"/>
      <c r="P141" s="5"/>
      <c r="Q141" s="4"/>
      <c r="R141" s="4"/>
      <c r="S141" s="4"/>
    </row>
    <row r="142" spans="1:19">
      <c r="A142" s="4"/>
      <c r="B142" s="4"/>
      <c r="C142" s="4"/>
      <c r="D142" s="4"/>
      <c r="E142" s="4"/>
      <c r="F142" s="4"/>
      <c r="G142" s="5"/>
      <c r="H142" s="4"/>
      <c r="I142" s="4"/>
      <c r="J142" s="4"/>
      <c r="K142" s="4"/>
      <c r="L142" s="6"/>
      <c r="M142" s="4"/>
      <c r="N142" s="4"/>
      <c r="O142" s="5"/>
      <c r="P142" s="5"/>
      <c r="Q142" s="4"/>
      <c r="R142" s="4"/>
      <c r="S142" s="4"/>
    </row>
    <row r="143" spans="1:19">
      <c r="A143" s="4"/>
      <c r="B143" s="4"/>
      <c r="C143" s="4"/>
      <c r="D143" s="4"/>
      <c r="E143" s="4"/>
      <c r="F143" s="4"/>
      <c r="G143" s="5"/>
      <c r="H143" s="4"/>
      <c r="I143" s="4"/>
      <c r="J143" s="4"/>
      <c r="K143" s="4"/>
      <c r="L143" s="6"/>
      <c r="M143" s="4"/>
      <c r="N143" s="4"/>
      <c r="O143" s="5"/>
      <c r="P143" s="5"/>
      <c r="Q143" s="4"/>
      <c r="R143" s="4"/>
      <c r="S143" s="4"/>
    </row>
    <row r="144" spans="1:19">
      <c r="A144" s="4"/>
      <c r="B144" s="4"/>
      <c r="C144" s="4"/>
      <c r="D144" s="4"/>
      <c r="E144" s="4"/>
      <c r="F144" s="4"/>
      <c r="G144" s="5"/>
      <c r="H144" s="4"/>
      <c r="I144" s="4"/>
      <c r="J144" s="4"/>
      <c r="K144" s="4"/>
      <c r="L144" s="6"/>
      <c r="M144" s="4"/>
      <c r="N144" s="4"/>
      <c r="O144" s="5"/>
      <c r="P144" s="5"/>
      <c r="Q144" s="4"/>
      <c r="R144" s="4"/>
      <c r="S144" s="4"/>
    </row>
    <row r="145" spans="1:19">
      <c r="A145" s="4"/>
      <c r="B145" s="4"/>
      <c r="C145" s="4"/>
      <c r="D145" s="4"/>
      <c r="E145" s="4"/>
      <c r="F145" s="4"/>
      <c r="G145" s="5"/>
      <c r="H145" s="4"/>
      <c r="I145" s="4"/>
      <c r="J145" s="4"/>
      <c r="K145" s="4"/>
      <c r="L145" s="6"/>
      <c r="M145" s="4"/>
      <c r="N145" s="4"/>
      <c r="O145" s="5"/>
      <c r="P145" s="5"/>
      <c r="Q145" s="4"/>
      <c r="R145" s="4"/>
      <c r="S145" s="4"/>
    </row>
    <row r="146" spans="1:19">
      <c r="A146" s="4"/>
      <c r="B146" s="4"/>
      <c r="C146" s="4"/>
      <c r="D146" s="4"/>
      <c r="E146" s="4"/>
      <c r="F146" s="4"/>
      <c r="G146" s="5"/>
      <c r="H146" s="4"/>
      <c r="I146" s="4"/>
      <c r="J146" s="4"/>
      <c r="K146" s="4"/>
      <c r="L146" s="6"/>
      <c r="M146" s="4"/>
      <c r="N146" s="4"/>
      <c r="O146" s="5"/>
      <c r="P146" s="5"/>
      <c r="Q146" s="4"/>
      <c r="R146" s="4"/>
      <c r="S146" s="4"/>
    </row>
    <row r="147" spans="1:19">
      <c r="A147" s="4"/>
      <c r="B147" s="4"/>
      <c r="C147" s="4"/>
      <c r="D147" s="4"/>
      <c r="E147" s="4"/>
      <c r="F147" s="4"/>
      <c r="G147" s="5"/>
      <c r="H147" s="4"/>
      <c r="I147" s="4"/>
      <c r="J147" s="4"/>
      <c r="K147" s="4"/>
      <c r="L147" s="6"/>
      <c r="M147" s="4"/>
      <c r="N147" s="4"/>
      <c r="O147" s="5"/>
      <c r="P147" s="5"/>
      <c r="Q147" s="4"/>
      <c r="R147" s="4"/>
      <c r="S147" s="4"/>
    </row>
    <row r="148" spans="1:19">
      <c r="A148" s="4"/>
      <c r="B148" s="4"/>
      <c r="C148" s="4"/>
      <c r="D148" s="4"/>
      <c r="E148" s="4"/>
      <c r="F148" s="4"/>
      <c r="G148" s="5"/>
      <c r="H148" s="4"/>
      <c r="I148" s="4"/>
      <c r="J148" s="4"/>
      <c r="K148" s="4"/>
      <c r="L148" s="6"/>
      <c r="M148" s="4"/>
      <c r="N148" s="4"/>
      <c r="O148" s="5"/>
      <c r="P148" s="5"/>
      <c r="Q148" s="4"/>
      <c r="R148" s="4"/>
      <c r="S148" s="4"/>
    </row>
    <row r="149" spans="1:19">
      <c r="A149" s="4"/>
      <c r="B149" s="4"/>
      <c r="C149" s="4"/>
      <c r="D149" s="4"/>
      <c r="E149" s="4"/>
      <c r="F149" s="4"/>
      <c r="G149" s="5"/>
      <c r="H149" s="4"/>
      <c r="I149" s="4"/>
      <c r="J149" s="4"/>
      <c r="K149" s="4"/>
      <c r="L149" s="6"/>
      <c r="M149" s="4"/>
      <c r="N149" s="4"/>
      <c r="O149" s="5"/>
      <c r="P149" s="5"/>
      <c r="Q149" s="4"/>
      <c r="R149" s="4"/>
      <c r="S149" s="4"/>
    </row>
    <row r="150" spans="1:19">
      <c r="A150" s="4"/>
      <c r="B150" s="4"/>
      <c r="C150" s="4"/>
      <c r="D150" s="4"/>
      <c r="E150" s="4"/>
      <c r="F150" s="4"/>
      <c r="G150" s="5"/>
      <c r="H150" s="4"/>
      <c r="I150" s="4"/>
      <c r="J150" s="4"/>
      <c r="K150" s="4"/>
      <c r="L150" s="6"/>
      <c r="M150" s="4"/>
      <c r="N150" s="4"/>
      <c r="O150" s="5"/>
      <c r="P150" s="5"/>
      <c r="Q150" s="4"/>
      <c r="R150" s="4"/>
      <c r="S150" s="4"/>
    </row>
    <row r="151" spans="1:19">
      <c r="A151" s="4"/>
      <c r="B151" s="4"/>
      <c r="C151" s="4"/>
      <c r="D151" s="4"/>
      <c r="E151" s="4"/>
      <c r="F151" s="4"/>
      <c r="G151" s="5"/>
      <c r="H151" s="4"/>
      <c r="I151" s="4"/>
      <c r="J151" s="4"/>
      <c r="K151" s="4"/>
      <c r="L151" s="6"/>
      <c r="M151" s="4"/>
      <c r="N151" s="4"/>
      <c r="O151" s="5"/>
      <c r="P151" s="5"/>
      <c r="Q151" s="4"/>
      <c r="R151" s="4"/>
      <c r="S151" s="4"/>
    </row>
    <row r="152" spans="1:19">
      <c r="A152" s="4"/>
      <c r="B152" s="4"/>
      <c r="C152" s="4"/>
      <c r="D152" s="4"/>
      <c r="E152" s="4"/>
      <c r="F152" s="4"/>
      <c r="G152" s="5"/>
      <c r="H152" s="4"/>
      <c r="I152" s="4"/>
      <c r="J152" s="4"/>
      <c r="K152" s="4"/>
      <c r="L152" s="6"/>
      <c r="M152" s="4"/>
      <c r="N152" s="4"/>
      <c r="O152" s="5"/>
      <c r="P152" s="5"/>
      <c r="Q152" s="4"/>
      <c r="R152" s="4"/>
      <c r="S152" s="4"/>
    </row>
    <row r="153" spans="1:19">
      <c r="A153" s="4"/>
      <c r="B153" s="4"/>
      <c r="C153" s="4"/>
      <c r="D153" s="4"/>
      <c r="E153" s="4"/>
      <c r="F153" s="4"/>
      <c r="G153" s="5"/>
      <c r="H153" s="4"/>
      <c r="I153" s="4"/>
      <c r="J153" s="4"/>
      <c r="K153" s="4"/>
      <c r="L153" s="6"/>
      <c r="M153" s="4"/>
      <c r="N153" s="4"/>
      <c r="O153" s="5"/>
      <c r="P153" s="5"/>
      <c r="Q153" s="4"/>
      <c r="R153" s="4"/>
      <c r="S153" s="4"/>
    </row>
    <row r="154" spans="1:19">
      <c r="A154" s="4"/>
      <c r="B154" s="4"/>
      <c r="C154" s="4"/>
      <c r="D154" s="4"/>
      <c r="E154" s="4"/>
      <c r="F154" s="4"/>
      <c r="G154" s="5"/>
      <c r="H154" s="4"/>
      <c r="I154" s="4"/>
      <c r="J154" s="4"/>
      <c r="K154" s="4"/>
      <c r="L154" s="6"/>
      <c r="M154" s="4"/>
      <c r="N154" s="4"/>
      <c r="O154" s="5"/>
      <c r="P154" s="5"/>
      <c r="Q154" s="4"/>
      <c r="R154" s="4"/>
      <c r="S154" s="4"/>
    </row>
    <row r="155" spans="1:19">
      <c r="A155" s="4"/>
      <c r="B155" s="4"/>
      <c r="C155" s="4"/>
      <c r="D155" s="4"/>
      <c r="E155" s="4"/>
      <c r="F155" s="4"/>
      <c r="G155" s="5"/>
      <c r="H155" s="4"/>
      <c r="I155" s="4"/>
      <c r="J155" s="4"/>
      <c r="K155" s="4"/>
      <c r="L155" s="6"/>
      <c r="M155" s="4"/>
      <c r="N155" s="4"/>
      <c r="O155" s="5"/>
      <c r="P155" s="5"/>
      <c r="Q155" s="4"/>
      <c r="R155" s="4"/>
      <c r="S155" s="4"/>
    </row>
    <row r="156" spans="1:19">
      <c r="A156" s="4"/>
      <c r="B156" s="4"/>
      <c r="C156" s="4"/>
      <c r="D156" s="4"/>
      <c r="E156" s="4"/>
      <c r="F156" s="4"/>
      <c r="G156" s="5"/>
      <c r="H156" s="4"/>
      <c r="I156" s="4"/>
      <c r="J156" s="4"/>
      <c r="K156" s="4"/>
      <c r="L156" s="6"/>
      <c r="M156" s="4"/>
      <c r="N156" s="4"/>
      <c r="O156" s="5"/>
      <c r="P156" s="5"/>
      <c r="Q156" s="4"/>
      <c r="R156" s="4"/>
      <c r="S156" s="4"/>
    </row>
    <row r="157" spans="1:19">
      <c r="A157" s="4"/>
      <c r="B157" s="4"/>
      <c r="C157" s="4"/>
      <c r="D157" s="4"/>
      <c r="E157" s="4"/>
      <c r="F157" s="4"/>
      <c r="G157" s="5"/>
      <c r="H157" s="4"/>
      <c r="I157" s="4"/>
      <c r="J157" s="4"/>
      <c r="K157" s="4"/>
      <c r="L157" s="6"/>
      <c r="M157" s="4"/>
      <c r="N157" s="4"/>
      <c r="O157" s="5"/>
      <c r="P157" s="5"/>
      <c r="Q157" s="4"/>
      <c r="R157" s="4"/>
      <c r="S157" s="4"/>
    </row>
    <row r="158" spans="1:19">
      <c r="A158" s="4"/>
      <c r="B158" s="4"/>
      <c r="C158" s="4"/>
      <c r="D158" s="4"/>
      <c r="E158" s="4"/>
      <c r="F158" s="4"/>
      <c r="G158" s="5"/>
      <c r="H158" s="4"/>
      <c r="I158" s="4"/>
      <c r="J158" s="4"/>
      <c r="K158" s="4"/>
      <c r="L158" s="6"/>
      <c r="M158" s="4"/>
      <c r="N158" s="4"/>
      <c r="O158" s="5"/>
      <c r="P158" s="5"/>
      <c r="Q158" s="4"/>
      <c r="R158" s="4"/>
      <c r="S158" s="4"/>
    </row>
    <row r="159" spans="1:19">
      <c r="A159" s="4"/>
      <c r="B159" s="4"/>
      <c r="C159" s="4"/>
      <c r="D159" s="4"/>
      <c r="E159" s="4"/>
      <c r="F159" s="4"/>
      <c r="G159" s="5"/>
      <c r="H159" s="4"/>
      <c r="I159" s="4"/>
      <c r="J159" s="4"/>
      <c r="K159" s="4"/>
      <c r="L159" s="6"/>
      <c r="M159" s="4"/>
      <c r="N159" s="4"/>
      <c r="O159" s="5"/>
      <c r="P159" s="5"/>
      <c r="Q159" s="4"/>
      <c r="R159" s="4"/>
      <c r="S159" s="4"/>
    </row>
    <row r="160" spans="1:19">
      <c r="A160" s="4"/>
      <c r="B160" s="4"/>
      <c r="C160" s="4"/>
      <c r="D160" s="4"/>
      <c r="E160" s="4"/>
      <c r="F160" s="4"/>
      <c r="G160" s="5"/>
      <c r="H160" s="4"/>
      <c r="I160" s="4"/>
      <c r="J160" s="4"/>
      <c r="K160" s="4"/>
      <c r="L160" s="6"/>
      <c r="M160" s="4"/>
      <c r="N160" s="4"/>
      <c r="O160" s="5"/>
      <c r="P160" s="5"/>
      <c r="Q160" s="4"/>
      <c r="R160" s="4"/>
      <c r="S160" s="4"/>
    </row>
    <row r="161" spans="1:19">
      <c r="A161" s="4"/>
      <c r="B161" s="4"/>
      <c r="C161" s="4"/>
      <c r="D161" s="4"/>
      <c r="E161" s="4"/>
      <c r="F161" s="4"/>
      <c r="G161" s="5"/>
      <c r="H161" s="4"/>
      <c r="I161" s="4"/>
      <c r="J161" s="4"/>
      <c r="K161" s="4"/>
      <c r="L161" s="6"/>
      <c r="M161" s="4"/>
      <c r="N161" s="4"/>
      <c r="O161" s="5"/>
      <c r="P161" s="5"/>
      <c r="Q161" s="4"/>
      <c r="R161" s="4"/>
      <c r="S161" s="4"/>
    </row>
    <row r="162" spans="1:19">
      <c r="A162" s="4"/>
      <c r="B162" s="4"/>
      <c r="C162" s="4"/>
      <c r="D162" s="4"/>
      <c r="E162" s="4"/>
      <c r="F162" s="4"/>
      <c r="G162" s="5"/>
      <c r="H162" s="4"/>
      <c r="I162" s="4"/>
      <c r="J162" s="4"/>
      <c r="K162" s="4"/>
      <c r="L162" s="6"/>
      <c r="M162" s="4"/>
      <c r="N162" s="4"/>
      <c r="O162" s="5"/>
      <c r="P162" s="5"/>
      <c r="Q162" s="4"/>
      <c r="R162" s="4"/>
      <c r="S162" s="4"/>
    </row>
    <row r="163" spans="1:19">
      <c r="A163" s="4"/>
      <c r="B163" s="4"/>
      <c r="C163" s="4"/>
      <c r="D163" s="4"/>
      <c r="E163" s="4"/>
      <c r="F163" s="4"/>
      <c r="G163" s="5"/>
      <c r="H163" s="4"/>
      <c r="I163" s="4"/>
      <c r="J163" s="4"/>
      <c r="K163" s="4"/>
      <c r="L163" s="6"/>
      <c r="M163" s="4"/>
      <c r="N163" s="4"/>
      <c r="O163" s="5"/>
      <c r="P163" s="5"/>
      <c r="Q163" s="4"/>
      <c r="R163" s="4"/>
      <c r="S163" s="4"/>
    </row>
    <row r="164" spans="1:19">
      <c r="A164" s="4"/>
      <c r="B164" s="4"/>
      <c r="C164" s="4"/>
      <c r="D164" s="4"/>
      <c r="E164" s="4"/>
      <c r="F164" s="4"/>
      <c r="G164" s="5"/>
      <c r="H164" s="4"/>
      <c r="I164" s="4"/>
      <c r="J164" s="4"/>
      <c r="K164" s="4"/>
      <c r="L164" s="6"/>
      <c r="M164" s="4"/>
      <c r="N164" s="4"/>
      <c r="O164" s="5"/>
      <c r="P164" s="5"/>
      <c r="Q164" s="4"/>
      <c r="R164" s="4"/>
      <c r="S164" s="4"/>
    </row>
    <row r="165" spans="1:19">
      <c r="A165" s="4"/>
      <c r="B165" s="4"/>
      <c r="C165" s="4"/>
      <c r="D165" s="4"/>
      <c r="E165" s="4"/>
      <c r="F165" s="4"/>
      <c r="G165" s="5"/>
      <c r="H165" s="4"/>
      <c r="I165" s="4"/>
      <c r="J165" s="4"/>
      <c r="K165" s="4"/>
      <c r="L165" s="6"/>
      <c r="M165" s="4"/>
      <c r="N165" s="4"/>
      <c r="O165" s="5"/>
      <c r="P165" s="5"/>
      <c r="Q165" s="4"/>
      <c r="R165" s="4"/>
      <c r="S165" s="4"/>
    </row>
    <row r="166" spans="1:19">
      <c r="A166" s="4"/>
      <c r="B166" s="4"/>
      <c r="C166" s="4"/>
      <c r="D166" s="4"/>
      <c r="E166" s="4"/>
      <c r="F166" s="4"/>
      <c r="G166" s="5"/>
      <c r="H166" s="4"/>
      <c r="I166" s="4"/>
      <c r="J166" s="4"/>
      <c r="K166" s="4"/>
      <c r="L166" s="6"/>
      <c r="M166" s="4"/>
      <c r="N166" s="4"/>
      <c r="O166" s="5"/>
      <c r="P166" s="5"/>
      <c r="Q166" s="4"/>
      <c r="R166" s="4"/>
      <c r="S166" s="4"/>
    </row>
    <row r="167" spans="1:19">
      <c r="A167" s="4"/>
      <c r="B167" s="4"/>
      <c r="C167" s="4"/>
      <c r="D167" s="4"/>
      <c r="E167" s="4"/>
      <c r="F167" s="4"/>
      <c r="G167" s="5"/>
      <c r="H167" s="4"/>
      <c r="I167" s="4"/>
      <c r="J167" s="4"/>
      <c r="K167" s="4"/>
      <c r="L167" s="6"/>
      <c r="M167" s="4"/>
      <c r="N167" s="4"/>
      <c r="O167" s="5"/>
      <c r="P167" s="5"/>
      <c r="Q167" s="4"/>
      <c r="R167" s="4"/>
      <c r="S167" s="4"/>
    </row>
    <row r="168" spans="1:19">
      <c r="A168" s="4"/>
      <c r="B168" s="4"/>
      <c r="C168" s="4"/>
      <c r="D168" s="4"/>
      <c r="E168" s="4"/>
      <c r="F168" s="4"/>
      <c r="G168" s="5"/>
      <c r="H168" s="4"/>
      <c r="I168" s="4"/>
      <c r="J168" s="4"/>
      <c r="K168" s="4"/>
      <c r="L168" s="6"/>
      <c r="M168" s="4"/>
      <c r="N168" s="4"/>
      <c r="O168" s="5"/>
      <c r="P168" s="5"/>
      <c r="Q168" s="4"/>
      <c r="R168" s="4"/>
      <c r="S168" s="4"/>
    </row>
    <row r="169" spans="1:19">
      <c r="A169" s="4"/>
      <c r="B169" s="4"/>
      <c r="C169" s="4"/>
      <c r="D169" s="4"/>
      <c r="E169" s="4"/>
      <c r="F169" s="4"/>
      <c r="G169" s="5"/>
      <c r="H169" s="4"/>
      <c r="I169" s="4"/>
      <c r="J169" s="4"/>
      <c r="K169" s="4"/>
      <c r="L169" s="6"/>
      <c r="M169" s="4"/>
      <c r="N169" s="4"/>
      <c r="O169" s="5"/>
      <c r="P169" s="5"/>
      <c r="Q169" s="4"/>
      <c r="R169" s="4"/>
      <c r="S169" s="4"/>
    </row>
    <row r="170" spans="1:19">
      <c r="A170" s="4"/>
      <c r="B170" s="4"/>
      <c r="C170" s="4"/>
      <c r="D170" s="4"/>
      <c r="E170" s="4"/>
      <c r="F170" s="4"/>
      <c r="G170" s="5"/>
      <c r="H170" s="4"/>
      <c r="I170" s="4"/>
      <c r="J170" s="4"/>
      <c r="K170" s="4"/>
      <c r="L170" s="6"/>
      <c r="M170" s="4"/>
      <c r="N170" s="4"/>
      <c r="O170" s="5"/>
      <c r="P170" s="5"/>
      <c r="Q170" s="4"/>
      <c r="R170" s="4"/>
      <c r="S170" s="4"/>
    </row>
    <row r="171" spans="1:19">
      <c r="A171" s="4"/>
      <c r="B171" s="4"/>
      <c r="C171" s="4"/>
      <c r="D171" s="4"/>
      <c r="E171" s="4"/>
      <c r="F171" s="4"/>
      <c r="G171" s="5"/>
      <c r="H171" s="4"/>
      <c r="I171" s="4"/>
      <c r="J171" s="4"/>
      <c r="K171" s="4"/>
      <c r="L171" s="6"/>
      <c r="M171" s="4"/>
      <c r="N171" s="4"/>
      <c r="O171" s="5"/>
      <c r="P171" s="5"/>
      <c r="Q171" s="4"/>
      <c r="R171" s="4"/>
      <c r="S171" s="4"/>
    </row>
    <row r="172" spans="1:19">
      <c r="A172" s="4"/>
      <c r="B172" s="4"/>
      <c r="C172" s="4"/>
      <c r="D172" s="4"/>
      <c r="E172" s="4"/>
      <c r="F172" s="4"/>
      <c r="G172" s="5"/>
      <c r="H172" s="4"/>
      <c r="I172" s="4"/>
      <c r="J172" s="4"/>
      <c r="K172" s="4"/>
      <c r="L172" s="6"/>
      <c r="M172" s="4"/>
      <c r="N172" s="4"/>
      <c r="O172" s="5"/>
      <c r="P172" s="5"/>
      <c r="Q172" s="4"/>
      <c r="R172" s="4"/>
      <c r="S172" s="4"/>
    </row>
    <row r="173" spans="1:19">
      <c r="A173" s="4"/>
      <c r="B173" s="4"/>
      <c r="C173" s="4"/>
      <c r="D173" s="4"/>
      <c r="E173" s="4"/>
      <c r="F173" s="4"/>
      <c r="G173" s="5"/>
      <c r="H173" s="4"/>
      <c r="I173" s="4"/>
      <c r="J173" s="4"/>
      <c r="K173" s="4"/>
      <c r="L173" s="6"/>
      <c r="M173" s="4"/>
      <c r="N173" s="4"/>
      <c r="O173" s="5"/>
      <c r="P173" s="5"/>
      <c r="Q173" s="4"/>
      <c r="R173" s="4"/>
      <c r="S173" s="4"/>
    </row>
    <row r="174" spans="1:19">
      <c r="A174" s="4"/>
      <c r="B174" s="4"/>
      <c r="C174" s="4"/>
      <c r="D174" s="4"/>
      <c r="E174" s="4"/>
      <c r="F174" s="4"/>
      <c r="G174" s="5"/>
      <c r="H174" s="4"/>
      <c r="I174" s="4"/>
      <c r="J174" s="4"/>
      <c r="K174" s="4"/>
      <c r="L174" s="6"/>
      <c r="M174" s="4"/>
      <c r="N174" s="4"/>
      <c r="O174" s="5"/>
      <c r="P174" s="5"/>
      <c r="Q174" s="4"/>
      <c r="R174" s="4"/>
      <c r="S174" s="4"/>
    </row>
    <row r="175" spans="1:19">
      <c r="A175" s="4"/>
      <c r="B175" s="4"/>
      <c r="C175" s="4"/>
      <c r="D175" s="4"/>
      <c r="E175" s="4"/>
      <c r="F175" s="4"/>
      <c r="G175" s="5"/>
      <c r="H175" s="4"/>
      <c r="I175" s="4"/>
      <c r="J175" s="4"/>
      <c r="K175" s="4"/>
      <c r="L175" s="6"/>
      <c r="M175" s="4"/>
      <c r="N175" s="4"/>
      <c r="O175" s="5"/>
      <c r="P175" s="5"/>
      <c r="Q175" s="4"/>
      <c r="R175" s="4"/>
      <c r="S175" s="4"/>
    </row>
    <row r="176" spans="1:19">
      <c r="A176" s="4"/>
      <c r="B176" s="4"/>
      <c r="C176" s="4"/>
      <c r="D176" s="4"/>
      <c r="E176" s="4"/>
      <c r="F176" s="4"/>
      <c r="G176" s="5"/>
      <c r="H176" s="4"/>
      <c r="I176" s="4"/>
      <c r="J176" s="4"/>
      <c r="K176" s="4"/>
      <c r="L176" s="6"/>
      <c r="M176" s="4"/>
      <c r="N176" s="4"/>
      <c r="O176" s="5"/>
      <c r="P176" s="5"/>
      <c r="Q176" s="4"/>
      <c r="R176" s="4"/>
      <c r="S176" s="4"/>
    </row>
    <row r="177" spans="1:19">
      <c r="A177" s="4"/>
      <c r="B177" s="4"/>
      <c r="C177" s="4"/>
      <c r="D177" s="4"/>
      <c r="E177" s="4"/>
      <c r="F177" s="4"/>
      <c r="G177" s="5"/>
      <c r="H177" s="4"/>
      <c r="I177" s="4"/>
      <c r="J177" s="4"/>
      <c r="K177" s="4"/>
      <c r="L177" s="6"/>
      <c r="M177" s="4"/>
      <c r="N177" s="4"/>
      <c r="O177" s="5"/>
      <c r="P177" s="5"/>
      <c r="Q177" s="4"/>
      <c r="R177" s="4"/>
      <c r="S177" s="4"/>
    </row>
    <row r="178" spans="1:19">
      <c r="A178" s="4"/>
      <c r="B178" s="4"/>
      <c r="C178" s="4"/>
      <c r="D178" s="4"/>
      <c r="E178" s="4"/>
      <c r="F178" s="4"/>
      <c r="G178" s="5"/>
      <c r="H178" s="4"/>
      <c r="I178" s="4"/>
      <c r="J178" s="4"/>
      <c r="K178" s="4"/>
      <c r="L178" s="6"/>
      <c r="M178" s="4"/>
      <c r="N178" s="4"/>
      <c r="O178" s="5"/>
      <c r="P178" s="5"/>
      <c r="Q178" s="4"/>
      <c r="R178" s="4"/>
      <c r="S178" s="4"/>
    </row>
    <row r="179" spans="1:19">
      <c r="A179" s="4"/>
      <c r="B179" s="4"/>
      <c r="C179" s="4"/>
      <c r="D179" s="4"/>
      <c r="E179" s="4"/>
      <c r="F179" s="4"/>
      <c r="G179" s="5"/>
      <c r="H179" s="4"/>
      <c r="I179" s="4"/>
      <c r="J179" s="4"/>
      <c r="K179" s="4"/>
      <c r="L179" s="6"/>
      <c r="M179" s="4"/>
      <c r="N179" s="4"/>
      <c r="O179" s="5"/>
      <c r="P179" s="5"/>
      <c r="Q179" s="4"/>
      <c r="R179" s="4"/>
      <c r="S179" s="4"/>
    </row>
    <row r="180" spans="1:19">
      <c r="A180" s="4"/>
      <c r="B180" s="4"/>
      <c r="C180" s="4"/>
      <c r="D180" s="4"/>
      <c r="E180" s="4"/>
      <c r="F180" s="4"/>
      <c r="G180" s="5"/>
      <c r="H180" s="4"/>
      <c r="I180" s="4"/>
      <c r="J180" s="4"/>
      <c r="K180" s="4"/>
      <c r="L180" s="6"/>
      <c r="M180" s="4"/>
      <c r="N180" s="4"/>
      <c r="O180" s="5"/>
      <c r="P180" s="5"/>
      <c r="Q180" s="4"/>
      <c r="R180" s="4"/>
      <c r="S180" s="4"/>
    </row>
    <row r="181" spans="1:19">
      <c r="A181" s="4"/>
      <c r="B181" s="4"/>
      <c r="C181" s="4"/>
      <c r="D181" s="4"/>
      <c r="E181" s="4"/>
      <c r="F181" s="4"/>
      <c r="G181" s="5"/>
      <c r="H181" s="4"/>
      <c r="I181" s="4"/>
      <c r="J181" s="4"/>
      <c r="K181" s="4"/>
      <c r="L181" s="6"/>
      <c r="M181" s="4"/>
      <c r="N181" s="4"/>
      <c r="O181" s="5"/>
      <c r="P181" s="5"/>
      <c r="Q181" s="4"/>
      <c r="R181" s="4"/>
      <c r="S181" s="4"/>
    </row>
    <row r="182" spans="1:19">
      <c r="A182" s="4"/>
      <c r="B182" s="4"/>
      <c r="C182" s="4"/>
      <c r="D182" s="4"/>
      <c r="E182" s="4"/>
      <c r="F182" s="4"/>
      <c r="G182" s="5"/>
      <c r="H182" s="4"/>
      <c r="I182" s="4"/>
      <c r="J182" s="4"/>
      <c r="K182" s="4"/>
      <c r="L182" s="6"/>
      <c r="M182" s="4"/>
      <c r="N182" s="4"/>
      <c r="O182" s="5"/>
      <c r="P182" s="5"/>
      <c r="Q182" s="4"/>
      <c r="R182" s="4"/>
      <c r="S182" s="4"/>
    </row>
    <row r="183" spans="1:19">
      <c r="A183" s="4"/>
      <c r="B183" s="4"/>
      <c r="C183" s="4"/>
      <c r="D183" s="4"/>
      <c r="E183" s="4"/>
      <c r="F183" s="4"/>
      <c r="G183" s="5"/>
      <c r="H183" s="4"/>
      <c r="I183" s="4"/>
      <c r="J183" s="4"/>
      <c r="K183" s="4"/>
      <c r="L183" s="6"/>
      <c r="M183" s="4"/>
      <c r="N183" s="4"/>
      <c r="O183" s="5"/>
      <c r="P183" s="5"/>
      <c r="Q183" s="4"/>
      <c r="R183" s="4"/>
      <c r="S183" s="4"/>
    </row>
    <row r="184" spans="1:19">
      <c r="A184" s="4"/>
      <c r="B184" s="4"/>
      <c r="C184" s="4"/>
      <c r="D184" s="4"/>
      <c r="E184" s="4"/>
      <c r="F184" s="4"/>
      <c r="G184" s="5"/>
      <c r="H184" s="4"/>
      <c r="I184" s="4"/>
      <c r="J184" s="4"/>
      <c r="K184" s="4"/>
      <c r="L184" s="6"/>
      <c r="M184" s="4"/>
      <c r="N184" s="4"/>
      <c r="O184" s="5"/>
      <c r="P184" s="5"/>
      <c r="Q184" s="4"/>
      <c r="R184" s="4"/>
      <c r="S184" s="4"/>
    </row>
    <row r="185" spans="1:19">
      <c r="A185" s="4"/>
      <c r="B185" s="4"/>
      <c r="C185" s="4"/>
      <c r="D185" s="4"/>
      <c r="E185" s="4"/>
      <c r="F185" s="4"/>
      <c r="G185" s="5"/>
      <c r="H185" s="4"/>
      <c r="I185" s="4"/>
      <c r="J185" s="4"/>
      <c r="K185" s="4"/>
      <c r="L185" s="6"/>
      <c r="M185" s="4"/>
      <c r="N185" s="4"/>
      <c r="O185" s="5"/>
      <c r="P185" s="5"/>
      <c r="Q185" s="4"/>
      <c r="R185" s="4"/>
      <c r="S185" s="4"/>
    </row>
    <row r="186" spans="1:19">
      <c r="A186" s="4"/>
      <c r="B186" s="4"/>
      <c r="C186" s="4"/>
      <c r="D186" s="4"/>
      <c r="E186" s="4"/>
      <c r="F186" s="4"/>
      <c r="G186" s="5"/>
      <c r="H186" s="4"/>
      <c r="I186" s="4"/>
      <c r="J186" s="4"/>
      <c r="K186" s="4"/>
      <c r="L186" s="6"/>
      <c r="M186" s="4"/>
      <c r="N186" s="4"/>
      <c r="O186" s="5"/>
      <c r="P186" s="5"/>
      <c r="Q186" s="4"/>
      <c r="R186" s="4"/>
      <c r="S186" s="4"/>
    </row>
    <row r="187" spans="1:19">
      <c r="A187" s="4"/>
      <c r="B187" s="4"/>
      <c r="C187" s="4"/>
      <c r="D187" s="4"/>
      <c r="E187" s="4"/>
      <c r="F187" s="4"/>
      <c r="G187" s="5"/>
      <c r="H187" s="4"/>
      <c r="I187" s="4"/>
      <c r="J187" s="4"/>
      <c r="K187" s="4"/>
      <c r="L187" s="6"/>
      <c r="M187" s="4"/>
      <c r="N187" s="4"/>
      <c r="O187" s="5"/>
      <c r="P187" s="5"/>
      <c r="Q187" s="4"/>
      <c r="R187" s="4"/>
      <c r="S187" s="4"/>
    </row>
    <row r="188" spans="1:19">
      <c r="A188" s="4"/>
      <c r="B188" s="4"/>
      <c r="C188" s="4"/>
      <c r="D188" s="4"/>
      <c r="E188" s="4"/>
      <c r="F188" s="4"/>
      <c r="G188" s="5"/>
      <c r="H188" s="4"/>
      <c r="I188" s="4"/>
      <c r="J188" s="4"/>
      <c r="K188" s="4"/>
      <c r="L188" s="6"/>
      <c r="M188" s="4"/>
      <c r="N188" s="4"/>
      <c r="O188" s="5"/>
      <c r="P188" s="5"/>
      <c r="Q188" s="4"/>
      <c r="R188" s="4"/>
      <c r="S188" s="4"/>
    </row>
    <row r="189" spans="1:19">
      <c r="A189" s="4"/>
      <c r="B189" s="4"/>
      <c r="C189" s="4"/>
      <c r="D189" s="4"/>
      <c r="E189" s="4"/>
      <c r="F189" s="4"/>
      <c r="G189" s="5"/>
      <c r="H189" s="4"/>
      <c r="I189" s="4"/>
      <c r="J189" s="4"/>
      <c r="K189" s="4"/>
      <c r="L189" s="6"/>
      <c r="M189" s="4"/>
      <c r="N189" s="4"/>
      <c r="O189" s="5"/>
      <c r="P189" s="5"/>
      <c r="Q189" s="4"/>
      <c r="R189" s="4"/>
      <c r="S189" s="4"/>
    </row>
    <row r="190" spans="1:19">
      <c r="A190" s="4"/>
      <c r="B190" s="4"/>
      <c r="C190" s="4"/>
      <c r="D190" s="4"/>
      <c r="E190" s="4"/>
      <c r="F190" s="4"/>
      <c r="G190" s="5"/>
      <c r="H190" s="4"/>
      <c r="I190" s="4"/>
      <c r="J190" s="4"/>
      <c r="K190" s="4"/>
      <c r="L190" s="6"/>
      <c r="M190" s="4"/>
      <c r="N190" s="4"/>
      <c r="O190" s="5"/>
      <c r="P190" s="5"/>
      <c r="Q190" s="4"/>
      <c r="R190" s="4"/>
      <c r="S190" s="4"/>
    </row>
    <row r="191" spans="1:19">
      <c r="A191" s="4"/>
      <c r="B191" s="4"/>
      <c r="C191" s="4"/>
      <c r="D191" s="4"/>
      <c r="E191" s="4"/>
      <c r="F191" s="4"/>
      <c r="G191" s="5"/>
      <c r="H191" s="4"/>
      <c r="I191" s="4"/>
      <c r="J191" s="4"/>
      <c r="K191" s="4"/>
      <c r="L191" s="6"/>
      <c r="M191" s="4"/>
      <c r="N191" s="4"/>
      <c r="O191" s="5"/>
      <c r="P191" s="5"/>
      <c r="Q191" s="4"/>
      <c r="R191" s="4"/>
      <c r="S191" s="4"/>
    </row>
    <row r="192" spans="1:19">
      <c r="A192" s="4"/>
      <c r="B192" s="4"/>
      <c r="C192" s="4"/>
      <c r="D192" s="4"/>
      <c r="E192" s="4"/>
      <c r="F192" s="4"/>
      <c r="G192" s="5"/>
      <c r="H192" s="4"/>
      <c r="I192" s="4"/>
      <c r="J192" s="4"/>
      <c r="K192" s="4"/>
      <c r="L192" s="6"/>
      <c r="M192" s="4"/>
      <c r="N192" s="4"/>
      <c r="O192" s="5"/>
      <c r="P192" s="5"/>
      <c r="Q192" s="4"/>
      <c r="R192" s="4"/>
      <c r="S192" s="4"/>
    </row>
    <row r="193" spans="1:19">
      <c r="A193" s="4"/>
      <c r="B193" s="4"/>
      <c r="C193" s="4"/>
      <c r="D193" s="4"/>
      <c r="E193" s="4"/>
      <c r="F193" s="4"/>
      <c r="G193" s="5"/>
      <c r="H193" s="4"/>
      <c r="I193" s="4"/>
      <c r="J193" s="4"/>
      <c r="K193" s="4"/>
      <c r="L193" s="6"/>
      <c r="M193" s="4"/>
      <c r="N193" s="4"/>
      <c r="O193" s="5"/>
      <c r="P193" s="5"/>
      <c r="Q193" s="4"/>
      <c r="R193" s="4"/>
      <c r="S193" s="4"/>
    </row>
    <row r="194" spans="1:19">
      <c r="A194" s="4"/>
      <c r="B194" s="4"/>
      <c r="C194" s="4"/>
      <c r="D194" s="4"/>
      <c r="E194" s="4"/>
      <c r="F194" s="4"/>
      <c r="G194" s="5"/>
      <c r="H194" s="4"/>
      <c r="I194" s="4"/>
      <c r="J194" s="4"/>
      <c r="K194" s="4"/>
      <c r="L194" s="6"/>
      <c r="M194" s="4"/>
      <c r="N194" s="4"/>
      <c r="O194" s="5"/>
      <c r="P194" s="5"/>
      <c r="Q194" s="4"/>
      <c r="R194" s="4"/>
      <c r="S194" s="4"/>
    </row>
    <row r="195" spans="1:19">
      <c r="A195" s="4"/>
      <c r="B195" s="4"/>
      <c r="C195" s="4"/>
      <c r="D195" s="4"/>
      <c r="E195" s="4"/>
      <c r="F195" s="4"/>
      <c r="G195" s="5"/>
      <c r="H195" s="4"/>
      <c r="I195" s="4"/>
      <c r="J195" s="4"/>
      <c r="K195" s="4"/>
      <c r="L195" s="6"/>
      <c r="M195" s="4"/>
      <c r="N195" s="4"/>
      <c r="O195" s="5"/>
      <c r="P195" s="5"/>
      <c r="Q195" s="4"/>
      <c r="R195" s="4"/>
      <c r="S195" s="4"/>
    </row>
    <row r="196" spans="1:19">
      <c r="A196" s="4"/>
      <c r="B196" s="4"/>
      <c r="C196" s="4"/>
      <c r="D196" s="4"/>
      <c r="E196" s="4"/>
      <c r="F196" s="4"/>
      <c r="G196" s="5"/>
      <c r="H196" s="4"/>
      <c r="I196" s="4"/>
      <c r="J196" s="4"/>
      <c r="K196" s="4"/>
      <c r="L196" s="6"/>
      <c r="M196" s="4"/>
      <c r="N196" s="4"/>
      <c r="O196" s="5"/>
      <c r="P196" s="5"/>
      <c r="Q196" s="4"/>
      <c r="R196" s="4"/>
      <c r="S196" s="4"/>
    </row>
    <row r="197" spans="1:19">
      <c r="A197" s="4"/>
      <c r="B197" s="4"/>
      <c r="C197" s="4"/>
      <c r="D197" s="4"/>
      <c r="E197" s="4"/>
      <c r="F197" s="4"/>
      <c r="G197" s="5"/>
      <c r="H197" s="4"/>
      <c r="I197" s="4"/>
      <c r="J197" s="4"/>
      <c r="K197" s="4"/>
      <c r="L197" s="6"/>
      <c r="M197" s="4"/>
      <c r="N197" s="4"/>
      <c r="O197" s="5"/>
      <c r="P197" s="5"/>
      <c r="Q197" s="4"/>
      <c r="R197" s="4"/>
      <c r="S197" s="4"/>
    </row>
    <row r="198" spans="1:19">
      <c r="A198" s="4"/>
      <c r="B198" s="4"/>
      <c r="C198" s="4"/>
      <c r="D198" s="4"/>
      <c r="E198" s="4"/>
      <c r="F198" s="4"/>
      <c r="G198" s="5"/>
      <c r="H198" s="4"/>
      <c r="I198" s="4"/>
      <c r="J198" s="4"/>
      <c r="K198" s="4"/>
      <c r="L198" s="6"/>
      <c r="M198" s="4"/>
      <c r="N198" s="4"/>
      <c r="O198" s="5"/>
      <c r="P198" s="5"/>
      <c r="Q198" s="4"/>
      <c r="R198" s="4"/>
      <c r="S198" s="4"/>
    </row>
    <row r="199" spans="1:19">
      <c r="A199" s="4"/>
      <c r="B199" s="4"/>
      <c r="C199" s="4"/>
      <c r="D199" s="4"/>
      <c r="E199" s="4"/>
      <c r="F199" s="4"/>
      <c r="G199" s="5"/>
      <c r="H199" s="4"/>
      <c r="I199" s="4"/>
      <c r="J199" s="4"/>
      <c r="K199" s="4"/>
      <c r="L199" s="6"/>
      <c r="M199" s="4"/>
      <c r="N199" s="4"/>
      <c r="O199" s="5"/>
      <c r="P199" s="5"/>
      <c r="Q199" s="4"/>
      <c r="R199" s="4"/>
      <c r="S199" s="4"/>
    </row>
    <row r="200" spans="1:19">
      <c r="A200" s="4"/>
      <c r="B200" s="4"/>
      <c r="C200" s="4"/>
      <c r="D200" s="4"/>
      <c r="E200" s="4"/>
      <c r="F200" s="4"/>
      <c r="G200" s="5"/>
      <c r="H200" s="4"/>
      <c r="I200" s="4"/>
      <c r="J200" s="4"/>
      <c r="K200" s="4"/>
      <c r="L200" s="6"/>
      <c r="M200" s="4"/>
      <c r="N200" s="4"/>
      <c r="O200" s="5"/>
      <c r="P200" s="5"/>
      <c r="Q200" s="4"/>
      <c r="R200" s="4"/>
      <c r="S200" s="4"/>
    </row>
  </sheetData>
  <conditionalFormatting sqref="F2:F200">
    <cfRule type="expression" dxfId="3" priority="1">
      <formula>F2="High"</formula>
    </cfRule>
  </conditionalFormatting>
  <conditionalFormatting sqref="K2:K200">
    <cfRule type="expression" dxfId="2" priority="3">
      <formula>K2="Closed"</formula>
    </cfRule>
    <cfRule type="expression" dxfId="1" priority="4">
      <formula>K2="Completed"</formula>
    </cfRule>
  </conditionalFormatting>
  <conditionalFormatting sqref="R2:R200">
    <cfRule type="expression" dxfId="0" priority="2">
      <formula>R2="Yes"</formula>
    </cfRule>
  </conditionalFormatting>
  <dataValidations count="2">
    <dataValidation type="list" sqref="M2:M200" xr:uid="{00000000-0002-0000-0100-000006000000}">
      <formula1>"Yes,No"</formula1>
    </dataValidation>
    <dataValidation type="list" sqref="N2:N200" xr:uid="{00000000-0002-0000-0100-000007000000}">
      <formula1>"Not Required,Pending,Approved,Rejected"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100-000000000000}">
          <x14:formula1>
            <xm:f>Lookups!$D$2:$D$7</xm:f>
          </x14:formula1>
          <xm:sqref>C2:C200</xm:sqref>
        </x14:dataValidation>
        <x14:dataValidation type="list" xr:uid="{00000000-0002-0000-0100-000001000000}">
          <x14:formula1>
            <xm:f>Lookups!$C$2:$C$9</xm:f>
          </x14:formula1>
          <xm:sqref>D2:D200</xm:sqref>
        </x14:dataValidation>
        <x14:dataValidation type="list" xr:uid="{00000000-0002-0000-0100-000002000000}">
          <x14:formula1>
            <xm:f>Lookups!$A$2:$A$4</xm:f>
          </x14:formula1>
          <xm:sqref>F2:F200</xm:sqref>
        </x14:dataValidation>
        <x14:dataValidation type="list" xr:uid="{00000000-0002-0000-0100-000003000000}">
          <x14:formula1>
            <xm:f>Lookups!$F$2:$F$7</xm:f>
          </x14:formula1>
          <xm:sqref>I2:I200 H2:H18 H20:H200</xm:sqref>
        </x14:dataValidation>
        <x14:dataValidation type="list" xr:uid="{00000000-0002-0000-0100-000004000000}">
          <x14:formula1>
            <xm:f>Lookups!$E$2:$E$3</xm:f>
          </x14:formula1>
          <xm:sqref>J2:J200</xm:sqref>
        </x14:dataValidation>
        <x14:dataValidation type="list" xr:uid="{00000000-0002-0000-0100-000005000000}">
          <x14:formula1>
            <xm:f>Lookups!$B$2:$B$7</xm:f>
          </x14:formula1>
          <xm:sqref>K2:K200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tabSelected="1" workbookViewId="0">
      <selection activeCell="D19" sqref="D19"/>
    </sheetView>
  </sheetViews>
  <sheetFormatPr defaultRowHeight="13.8"/>
  <cols>
    <col min="1" max="1" width="22" customWidth="1"/>
    <col min="2" max="2" width="10.5" customWidth="1"/>
    <col min="4" max="4" width="22.3984375" customWidth="1"/>
    <col min="5" max="5" width="6.796875" customWidth="1"/>
  </cols>
  <sheetData>
    <row r="1" spans="1:5" ht="17.399999999999999">
      <c r="A1" s="19" t="s">
        <v>118</v>
      </c>
      <c r="B1" s="20"/>
      <c r="C1" s="20"/>
      <c r="D1" s="20"/>
    </row>
    <row r="3" spans="1:5">
      <c r="A3" s="7" t="s">
        <v>95</v>
      </c>
      <c r="B3" s="7" t="s">
        <v>96</v>
      </c>
      <c r="D3" s="7" t="s">
        <v>1</v>
      </c>
      <c r="E3" s="7" t="s">
        <v>97</v>
      </c>
    </row>
    <row r="4" spans="1:5">
      <c r="A4" t="s">
        <v>98</v>
      </c>
      <c r="B4">
        <f>COUNTA('Work Orders'!A2:A200)</f>
        <v>13</v>
      </c>
      <c r="D4" t="s">
        <v>7</v>
      </c>
      <c r="E4">
        <f>COUNTIF('Work Orders'!K2:K200,D4)</f>
        <v>3</v>
      </c>
    </row>
    <row r="5" spans="1:5">
      <c r="A5" t="s">
        <v>99</v>
      </c>
      <c r="B5">
        <f>COUNTIFS('Work Orders'!K2:K200,"&lt;&gt;Closed",'Work Orders'!K2:K200,"&lt;&gt;Completed",'Work Orders'!A2:A200,"&lt;&gt;")</f>
        <v>11</v>
      </c>
      <c r="D5" t="s">
        <v>13</v>
      </c>
      <c r="E5">
        <f>COUNTIF('Work Orders'!K2:K200,D5)</f>
        <v>2</v>
      </c>
    </row>
    <row r="6" spans="1:5">
      <c r="A6" t="s">
        <v>100</v>
      </c>
      <c r="B6">
        <f>COUNTIF('Work Orders'!F2:F200,"High")</f>
        <v>3</v>
      </c>
      <c r="D6" t="s">
        <v>19</v>
      </c>
      <c r="E6">
        <f>COUNTIF('Work Orders'!K2:K200,D6)</f>
        <v>5</v>
      </c>
    </row>
    <row r="7" spans="1:5">
      <c r="A7" t="s">
        <v>101</v>
      </c>
      <c r="B7">
        <f ca="1">COUNTIF('Work Orders'!R2:R200,"Yes")</f>
        <v>8</v>
      </c>
      <c r="D7" t="s">
        <v>23</v>
      </c>
      <c r="E7">
        <f>COUNTIF('Work Orders'!K2:K200,D7)</f>
        <v>1</v>
      </c>
    </row>
    <row r="8" spans="1:5">
      <c r="A8" t="s">
        <v>138</v>
      </c>
      <c r="B8">
        <f>COUNTIFS('Work Orders'!M2:M200,"Yes",'Work Orders'!N2:N200,"Pending")</f>
        <v>2</v>
      </c>
      <c r="D8" t="s">
        <v>27</v>
      </c>
      <c r="E8">
        <f>COUNTIF('Work Orders'!K2:K200,D8)</f>
        <v>1</v>
      </c>
    </row>
    <row r="9" spans="1:5">
      <c r="A9" t="s">
        <v>119</v>
      </c>
      <c r="B9" s="13">
        <f>SUM('Work Orders'!L2:L200)</f>
        <v>13760</v>
      </c>
      <c r="D9" t="s">
        <v>31</v>
      </c>
      <c r="E9">
        <f>COUNTIF('Work Orders'!K2:K200,D9)</f>
        <v>1</v>
      </c>
    </row>
    <row r="11" spans="1:5">
      <c r="A11" t="s">
        <v>120</v>
      </c>
      <c r="B11" s="14">
        <f ca="1">TODAY()</f>
        <v>46320</v>
      </c>
    </row>
    <row r="13" spans="1:5">
      <c r="A13" t="s">
        <v>121</v>
      </c>
      <c r="B13">
        <f ca="1">COUNTIFS('Work Orders'!F2:F200,"High",'Work Orders'!R2:R200,"Yes")</f>
        <v>3</v>
      </c>
    </row>
    <row r="14" spans="1:5">
      <c r="A14" t="s">
        <v>122</v>
      </c>
      <c r="B14" s="17">
        <f>SUMIF('Work Orders'!D2:D200,"Engine",'Work Orders'!L2:L200)</f>
        <v>5300</v>
      </c>
    </row>
    <row r="15" spans="1:5">
      <c r="A15" t="s">
        <v>123</v>
      </c>
      <c r="B15" s="17">
        <f>SUMIFS('Work Orders'!L2:L200,'Work Orders'!F2:F200,"High",'Work Orders'!I2:I200,"Vendor")</f>
        <v>4200</v>
      </c>
    </row>
  </sheetData>
  <mergeCells count="1">
    <mergeCell ref="A1:D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E85D89-26D7-44FC-9D3F-F6387CF111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Lookups</vt:lpstr>
      <vt:lpstr>Pivot_Status</vt:lpstr>
      <vt:lpstr>Work Orders by Department and P</vt:lpstr>
      <vt:lpstr>Assignee_Lookup</vt:lpstr>
      <vt:lpstr>Estimated Cost by Issue Categor</vt:lpstr>
      <vt:lpstr>Cleaned_Work_Orders</vt:lpstr>
      <vt:lpstr>Work Orders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2026-10-14T20:54:39Z</dcterms:created>
  <dcterms:modified xsi:type="dcterms:W3CDTF">2026-10-25T07:26:12Z</dcterms:modified>
</cp:coreProperties>
</file>